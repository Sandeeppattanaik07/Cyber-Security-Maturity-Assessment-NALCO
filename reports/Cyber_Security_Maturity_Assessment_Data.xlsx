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updateLinks="always" codeName="ThisWorkbook"/>
  <mc:AlternateContent xmlns:mc="http://schemas.openxmlformats.org/markup-compatibility/2006">
    <mc:Choice Requires="x15">
      <x15ac:absPath xmlns:x15ac="http://schemas.microsoft.com/office/spreadsheetml/2010/11/ac" url="D:\NALCO\"/>
    </mc:Choice>
  </mc:AlternateContent>
  <xr:revisionPtr revIDLastSave="0" documentId="13_ncr:1_{77CB0A57-DB35-4ACC-895C-6511AD5B8591}" xr6:coauthVersionLast="47" xr6:coauthVersionMax="47" xr10:uidLastSave="{00000000-0000-0000-0000-000000000000}"/>
  <bookViews>
    <workbookView xWindow="-110" yWindow="-110" windowWidth="19420" windowHeight="10300" tabRatio="891" firstSheet="3" activeTab="3" xr2:uid="{00000000-000D-0000-FFFF-FFFF00000000}"/>
  </bookViews>
  <sheets>
    <sheet name="Cover" sheetId="20" r:id="rId1"/>
    <sheet name="Index" sheetId="27" r:id="rId2"/>
    <sheet name="Read Me" sheetId="68" r:id="rId3"/>
    <sheet name="Security Domains" sheetId="22" r:id="rId4"/>
    <sheet name="IS Governance" sheetId="64" r:id="rId5"/>
    <sheet name="Access Management" sheetId="3" r:id="rId6"/>
    <sheet name="Asset Management" sheetId="46" r:id="rId7"/>
    <sheet name="Incident Management" sheetId="67" r:id="rId8"/>
    <sheet name="Infra and Operations Sec" sheetId="77" r:id="rId9"/>
    <sheet name="Emerging Technology" sheetId="80" r:id="rId10"/>
    <sheet name="Network Security" sheetId="69" r:id="rId11"/>
    <sheet name="Endpoint Protection" sheetId="70" r:id="rId12"/>
    <sheet name="Human Resource Security" sheetId="65" r:id="rId13"/>
    <sheet name="Application Security" sheetId="71" r:id="rId14"/>
    <sheet name="Risk Management" sheetId="58" r:id="rId15"/>
    <sheet name="Business Continuity" sheetId="66" r:id="rId16"/>
    <sheet name="Physical and Environment" sheetId="73" r:id="rId17"/>
    <sheet name="Third Party" sheetId="72" r:id="rId18"/>
    <sheet name="Compliance management" sheetId="74" r:id="rId19"/>
    <sheet name="Observations" sheetId="85" r:id="rId20"/>
    <sheet name="Maturity Rating" sheetId="23" state="hidden" r:id="rId21"/>
  </sheets>
  <externalReferences>
    <externalReference r:id="rId22"/>
    <externalReference r:id="rId23"/>
    <externalReference r:id="rId24"/>
  </externalReferences>
  <definedNames>
    <definedName name="_xlnm._FilterDatabase" localSheetId="15" hidden="1">'Business Continuity'!$A$3:$O$25</definedName>
    <definedName name="_xlnm._FilterDatabase" localSheetId="10" hidden="1">'Network Security'!$A$3:$O$85</definedName>
    <definedName name="_xlnm._FilterDatabase" localSheetId="19" hidden="1">Observations!$A$1:$H$62</definedName>
    <definedName name="Lookup_Choices" localSheetId="19">[1]SOP!$H$1:$H$6</definedName>
    <definedName name="Lookup_Choices">'[2]Leadership 1 '!$H$1:$H$6</definedName>
    <definedName name="Lookup_Table" localSheetId="19">[1]SOP!$H$1:$I$6</definedName>
    <definedName name="Lookup_Table">'[2]Leadership 1 '!$H$1:$I$6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4" i="22" l="1"/>
  <c r="V44" i="69"/>
  <c r="U44" i="69"/>
  <c r="T44" i="69"/>
  <c r="S44" i="69"/>
  <c r="W44" i="69"/>
  <c r="K44" i="69"/>
  <c r="L44" i="69"/>
  <c r="V39" i="77"/>
  <c r="U39" i="77"/>
  <c r="T39" i="77"/>
  <c r="S39" i="77"/>
  <c r="V37" i="71"/>
  <c r="W37" i="71" s="1"/>
  <c r="K37" i="71" s="1"/>
  <c r="L37" i="71" s="1"/>
  <c r="U37" i="71"/>
  <c r="T37" i="71"/>
  <c r="S37" i="71"/>
  <c r="V47" i="71"/>
  <c r="U47" i="71"/>
  <c r="T47" i="71"/>
  <c r="S47" i="71"/>
  <c r="W47" i="71" s="1"/>
  <c r="K47" i="71" s="1"/>
  <c r="L47" i="71" s="1"/>
  <c r="V30" i="72"/>
  <c r="U30" i="72"/>
  <c r="T30" i="72"/>
  <c r="S30" i="72"/>
  <c r="V29" i="72"/>
  <c r="U29" i="72"/>
  <c r="T29" i="72"/>
  <c r="S29" i="72"/>
  <c r="V6" i="71"/>
  <c r="U6" i="71"/>
  <c r="T6" i="71"/>
  <c r="S6" i="71"/>
  <c r="W6" i="71"/>
  <c r="V5" i="71"/>
  <c r="U5" i="71"/>
  <c r="T5" i="71"/>
  <c r="S5" i="71"/>
  <c r="W5" i="71" s="1"/>
  <c r="K5" i="71" s="1"/>
  <c r="L5" i="71" s="1"/>
  <c r="V4" i="71"/>
  <c r="U4" i="71"/>
  <c r="T4" i="71"/>
  <c r="S4" i="71"/>
  <c r="V93" i="69"/>
  <c r="U93" i="69"/>
  <c r="T93" i="69"/>
  <c r="S93" i="69"/>
  <c r="V82" i="69"/>
  <c r="U82" i="69"/>
  <c r="T82" i="69"/>
  <c r="S82" i="69"/>
  <c r="V81" i="69"/>
  <c r="U81" i="69"/>
  <c r="T81" i="69"/>
  <c r="S81" i="69"/>
  <c r="V80" i="69"/>
  <c r="U80" i="69"/>
  <c r="T80" i="69"/>
  <c r="S80" i="69"/>
  <c r="V79" i="69"/>
  <c r="U79" i="69"/>
  <c r="T79" i="69"/>
  <c r="S79" i="69"/>
  <c r="W30" i="72"/>
  <c r="K30" i="72"/>
  <c r="L30" i="72"/>
  <c r="W93" i="69"/>
  <c r="K93" i="69"/>
  <c r="L93" i="69"/>
  <c r="W79" i="69"/>
  <c r="K79" i="69"/>
  <c r="L79" i="69"/>
  <c r="W80" i="69"/>
  <c r="K80" i="69"/>
  <c r="L80" i="69"/>
  <c r="W81" i="69"/>
  <c r="K81" i="69"/>
  <c r="L81" i="69"/>
  <c r="W82" i="69"/>
  <c r="K82" i="69"/>
  <c r="L82" i="69"/>
  <c r="K6" i="71"/>
  <c r="L6" i="71" s="1"/>
  <c r="V15" i="77"/>
  <c r="U15" i="77"/>
  <c r="T15" i="77"/>
  <c r="S15" i="77"/>
  <c r="V73" i="69"/>
  <c r="U73" i="69"/>
  <c r="T73" i="69"/>
  <c r="S73" i="69"/>
  <c r="V49" i="77"/>
  <c r="U49" i="77"/>
  <c r="T49" i="77"/>
  <c r="S49" i="77"/>
  <c r="V48" i="77"/>
  <c r="U48" i="77"/>
  <c r="T48" i="77"/>
  <c r="S48" i="77"/>
  <c r="W73" i="69"/>
  <c r="K73" i="69"/>
  <c r="L73" i="69"/>
  <c r="V86" i="77"/>
  <c r="U86" i="77"/>
  <c r="T86" i="77"/>
  <c r="S86" i="77"/>
  <c r="W86" i="77" s="1"/>
  <c r="K86" i="77" s="1"/>
  <c r="L86" i="77" s="1"/>
  <c r="V85" i="77"/>
  <c r="U85" i="77"/>
  <c r="T85" i="77"/>
  <c r="S85" i="77"/>
  <c r="W85" i="77" s="1"/>
  <c r="K85" i="77" s="1"/>
  <c r="L85" i="77" s="1"/>
  <c r="V35" i="71"/>
  <c r="U35" i="71"/>
  <c r="T35" i="71"/>
  <c r="S35" i="71"/>
  <c r="V42" i="77"/>
  <c r="U42" i="77"/>
  <c r="T42" i="77"/>
  <c r="S42" i="77"/>
  <c r="W42" i="77" s="1"/>
  <c r="K42" i="77" s="1"/>
  <c r="L42" i="77" s="1"/>
  <c r="V18" i="70"/>
  <c r="U18" i="70"/>
  <c r="T18" i="70"/>
  <c r="W18" i="70" s="1"/>
  <c r="K18" i="70" s="1"/>
  <c r="L18" i="70" s="1"/>
  <c r="S18" i="70"/>
  <c r="V24" i="77"/>
  <c r="U24" i="77"/>
  <c r="T24" i="77"/>
  <c r="S24" i="77"/>
  <c r="V47" i="70"/>
  <c r="U47" i="70"/>
  <c r="T47" i="70"/>
  <c r="S47" i="70"/>
  <c r="V46" i="70"/>
  <c r="U46" i="70"/>
  <c r="T46" i="70"/>
  <c r="S46" i="70"/>
  <c r="V45" i="70"/>
  <c r="U45" i="70"/>
  <c r="W45" i="70" s="1"/>
  <c r="K45" i="70" s="1"/>
  <c r="L45" i="70" s="1"/>
  <c r="T45" i="70"/>
  <c r="S45" i="70"/>
  <c r="V44" i="70"/>
  <c r="U44" i="70"/>
  <c r="W44" i="70" s="1"/>
  <c r="K44" i="70" s="1"/>
  <c r="L44" i="70" s="1"/>
  <c r="T44" i="70"/>
  <c r="S44" i="70"/>
  <c r="V43" i="70"/>
  <c r="U43" i="70"/>
  <c r="T43" i="70"/>
  <c r="S43" i="70"/>
  <c r="V42" i="70"/>
  <c r="U42" i="70"/>
  <c r="T42" i="70"/>
  <c r="W42" i="70" s="1"/>
  <c r="K42" i="70" s="1"/>
  <c r="L42" i="70" s="1"/>
  <c r="S42" i="70"/>
  <c r="V41" i="70"/>
  <c r="U41" i="70"/>
  <c r="T41" i="70"/>
  <c r="S41" i="70"/>
  <c r="V40" i="70"/>
  <c r="U40" i="70"/>
  <c r="T40" i="70"/>
  <c r="S40" i="70"/>
  <c r="V39" i="70"/>
  <c r="U39" i="70"/>
  <c r="T39" i="70"/>
  <c r="S39" i="70"/>
  <c r="V38" i="70"/>
  <c r="U38" i="70"/>
  <c r="T38" i="70"/>
  <c r="S38" i="70"/>
  <c r="V37" i="70"/>
  <c r="U37" i="70"/>
  <c r="T37" i="70"/>
  <c r="W37" i="70" s="1"/>
  <c r="K37" i="70" s="1"/>
  <c r="L37" i="70" s="1"/>
  <c r="S37" i="70"/>
  <c r="V36" i="70"/>
  <c r="U36" i="70"/>
  <c r="T36" i="70"/>
  <c r="W36" i="70" s="1"/>
  <c r="K36" i="70" s="1"/>
  <c r="L36" i="70" s="1"/>
  <c r="S36" i="70"/>
  <c r="V24" i="72"/>
  <c r="U24" i="72"/>
  <c r="T24" i="72"/>
  <c r="S24" i="72"/>
  <c r="V23" i="72"/>
  <c r="U23" i="72"/>
  <c r="T23" i="72"/>
  <c r="S23" i="72"/>
  <c r="V22" i="72"/>
  <c r="W22" i="72" s="1"/>
  <c r="K22" i="72" s="1"/>
  <c r="L22" i="72" s="1"/>
  <c r="U22" i="72"/>
  <c r="T22" i="72"/>
  <c r="S22" i="72"/>
  <c r="V21" i="72"/>
  <c r="U21" i="72"/>
  <c r="T21" i="72"/>
  <c r="S21" i="72"/>
  <c r="V20" i="72"/>
  <c r="U20" i="72"/>
  <c r="T20" i="72"/>
  <c r="S20" i="72"/>
  <c r="V19" i="72"/>
  <c r="U19" i="72"/>
  <c r="T19" i="72"/>
  <c r="S19" i="72"/>
  <c r="V18" i="72"/>
  <c r="U18" i="72"/>
  <c r="T18" i="72"/>
  <c r="S18" i="72"/>
  <c r="V10" i="72"/>
  <c r="W10" i="72" s="1"/>
  <c r="K10" i="72" s="1"/>
  <c r="L10" i="72" s="1"/>
  <c r="U10" i="72"/>
  <c r="T10" i="72"/>
  <c r="S10" i="72"/>
  <c r="V28" i="73"/>
  <c r="U28" i="73"/>
  <c r="T28" i="73"/>
  <c r="S28" i="73"/>
  <c r="V11" i="58"/>
  <c r="U11" i="58"/>
  <c r="T11" i="58"/>
  <c r="S11" i="58"/>
  <c r="V23" i="66"/>
  <c r="U23" i="66"/>
  <c r="T23" i="66"/>
  <c r="S23" i="66"/>
  <c r="V22" i="66"/>
  <c r="U22" i="66"/>
  <c r="T22" i="66"/>
  <c r="S22" i="66"/>
  <c r="V22" i="67"/>
  <c r="U22" i="67"/>
  <c r="T22" i="67"/>
  <c r="S22" i="67"/>
  <c r="W22" i="67" s="1"/>
  <c r="K22" i="67" s="1"/>
  <c r="L22" i="67" s="1"/>
  <c r="V12" i="71"/>
  <c r="U12" i="71"/>
  <c r="T12" i="71"/>
  <c r="W12" i="71" s="1"/>
  <c r="K12" i="71" s="1"/>
  <c r="L12" i="71" s="1"/>
  <c r="S12" i="71"/>
  <c r="W18" i="72"/>
  <c r="K18" i="72"/>
  <c r="L18" i="72"/>
  <c r="W19" i="72"/>
  <c r="K19" i="72"/>
  <c r="L19" i="72"/>
  <c r="W20" i="72"/>
  <c r="K20" i="72"/>
  <c r="L20" i="72"/>
  <c r="W21" i="72"/>
  <c r="K21" i="72"/>
  <c r="L21" i="72"/>
  <c r="W23" i="72"/>
  <c r="K23" i="72"/>
  <c r="L23" i="72"/>
  <c r="W24" i="72"/>
  <c r="K24" i="72"/>
  <c r="L24" i="72"/>
  <c r="W38" i="70"/>
  <c r="K38" i="70"/>
  <c r="W41" i="70"/>
  <c r="K41" i="70"/>
  <c r="L41" i="70"/>
  <c r="W46" i="70"/>
  <c r="K46" i="70"/>
  <c r="L46" i="70"/>
  <c r="W47" i="70"/>
  <c r="K47" i="70"/>
  <c r="L47" i="70"/>
  <c r="W39" i="70"/>
  <c r="K39" i="70"/>
  <c r="L39" i="70"/>
  <c r="W43" i="70"/>
  <c r="K43" i="70"/>
  <c r="L43" i="70"/>
  <c r="W40" i="70"/>
  <c r="K40" i="70"/>
  <c r="L40" i="70"/>
  <c r="W23" i="66"/>
  <c r="K23" i="66" s="1"/>
  <c r="L23" i="66" s="1"/>
  <c r="W22" i="66"/>
  <c r="K22" i="66"/>
  <c r="L22" i="66"/>
  <c r="V35" i="70"/>
  <c r="U35" i="70"/>
  <c r="T35" i="70"/>
  <c r="S35" i="70"/>
  <c r="V34" i="70"/>
  <c r="U34" i="70"/>
  <c r="T34" i="70"/>
  <c r="S34" i="70"/>
  <c r="V33" i="70"/>
  <c r="U33" i="70"/>
  <c r="T33" i="70"/>
  <c r="S33" i="70"/>
  <c r="V32" i="70"/>
  <c r="U32" i="70"/>
  <c r="T32" i="70"/>
  <c r="S32" i="70"/>
  <c r="V31" i="70"/>
  <c r="U31" i="70"/>
  <c r="T31" i="70"/>
  <c r="S31" i="70"/>
  <c r="V17" i="70"/>
  <c r="U17" i="70"/>
  <c r="T17" i="70"/>
  <c r="S17" i="70"/>
  <c r="V16" i="70"/>
  <c r="U16" i="70"/>
  <c r="T16" i="70"/>
  <c r="S16" i="70"/>
  <c r="V31" i="69"/>
  <c r="U31" i="69"/>
  <c r="T31" i="69"/>
  <c r="S31" i="69"/>
  <c r="V94" i="69"/>
  <c r="U94" i="69"/>
  <c r="T94" i="69"/>
  <c r="S94" i="69"/>
  <c r="V92" i="69"/>
  <c r="U92" i="69"/>
  <c r="T92" i="69"/>
  <c r="S92" i="69"/>
  <c r="V91" i="69"/>
  <c r="U91" i="69"/>
  <c r="T91" i="69"/>
  <c r="S91" i="69"/>
  <c r="V90" i="69"/>
  <c r="U90" i="69"/>
  <c r="T90" i="69"/>
  <c r="S90" i="69"/>
  <c r="V89" i="69"/>
  <c r="U89" i="69"/>
  <c r="T89" i="69"/>
  <c r="S89" i="69"/>
  <c r="V88" i="69"/>
  <c r="U88" i="69"/>
  <c r="T88" i="69"/>
  <c r="S88" i="69"/>
  <c r="V87" i="69"/>
  <c r="U87" i="69"/>
  <c r="T87" i="69"/>
  <c r="S87" i="69"/>
  <c r="W87" i="69" s="1"/>
  <c r="K87" i="69" s="1"/>
  <c r="L87" i="69" s="1"/>
  <c r="V86" i="69"/>
  <c r="U86" i="69"/>
  <c r="T86" i="69"/>
  <c r="S86" i="69"/>
  <c r="V17" i="69"/>
  <c r="U17" i="69"/>
  <c r="W17" i="69" s="1"/>
  <c r="K17" i="69" s="1"/>
  <c r="L17" i="69" s="1"/>
  <c r="T17" i="69"/>
  <c r="S17" i="69"/>
  <c r="V75" i="77"/>
  <c r="U75" i="77"/>
  <c r="T75" i="77"/>
  <c r="S75" i="77"/>
  <c r="V30" i="70"/>
  <c r="U30" i="70"/>
  <c r="T30" i="70"/>
  <c r="S30" i="70"/>
  <c r="W31" i="69"/>
  <c r="K31" i="69"/>
  <c r="L31" i="69"/>
  <c r="W16" i="70"/>
  <c r="K16" i="70"/>
  <c r="L16" i="70"/>
  <c r="W17" i="70"/>
  <c r="K17" i="70"/>
  <c r="L17" i="70"/>
  <c r="W30" i="70"/>
  <c r="K30" i="70"/>
  <c r="L30" i="70"/>
  <c r="W88" i="69"/>
  <c r="K88" i="69"/>
  <c r="L88" i="69"/>
  <c r="W89" i="69"/>
  <c r="K89" i="69"/>
  <c r="L89" i="69"/>
  <c r="W90" i="69"/>
  <c r="K90" i="69"/>
  <c r="L90" i="69"/>
  <c r="W91" i="69"/>
  <c r="K91" i="69"/>
  <c r="L91" i="69"/>
  <c r="W92" i="69"/>
  <c r="K92" i="69"/>
  <c r="L92" i="69"/>
  <c r="W94" i="69"/>
  <c r="K94" i="69"/>
  <c r="L94" i="69" s="1"/>
  <c r="W86" i="69"/>
  <c r="K86" i="69"/>
  <c r="L86" i="69"/>
  <c r="V29" i="70"/>
  <c r="U29" i="70"/>
  <c r="T29" i="70"/>
  <c r="W29" i="70" s="1"/>
  <c r="K29" i="70" s="1"/>
  <c r="L29" i="70" s="1"/>
  <c r="S29" i="70"/>
  <c r="V28" i="70"/>
  <c r="U28" i="70"/>
  <c r="T28" i="70"/>
  <c r="W28" i="70" s="1"/>
  <c r="K28" i="70" s="1"/>
  <c r="L28" i="70" s="1"/>
  <c r="S28" i="70"/>
  <c r="V27" i="70"/>
  <c r="U27" i="70"/>
  <c r="T27" i="70"/>
  <c r="S27" i="70"/>
  <c r="V26" i="70"/>
  <c r="U26" i="70"/>
  <c r="T26" i="70"/>
  <c r="S26" i="70"/>
  <c r="V25" i="70"/>
  <c r="U25" i="70"/>
  <c r="T25" i="70"/>
  <c r="S25" i="70"/>
  <c r="V50" i="77"/>
  <c r="U50" i="77"/>
  <c r="T50" i="77"/>
  <c r="S50" i="77"/>
  <c r="V95" i="77"/>
  <c r="U95" i="77"/>
  <c r="T95" i="77"/>
  <c r="S95" i="77"/>
  <c r="V94" i="77"/>
  <c r="U94" i="77"/>
  <c r="T94" i="77"/>
  <c r="S94" i="77"/>
  <c r="W94" i="77" s="1"/>
  <c r="K94" i="77" s="1"/>
  <c r="L94" i="77" s="1"/>
  <c r="V93" i="77"/>
  <c r="U93" i="77"/>
  <c r="T93" i="77"/>
  <c r="S93" i="77"/>
  <c r="W93" i="77" s="1"/>
  <c r="K93" i="77" s="1"/>
  <c r="L93" i="77" s="1"/>
  <c r="V92" i="77"/>
  <c r="U92" i="77"/>
  <c r="W92" i="77" s="1"/>
  <c r="K92" i="77" s="1"/>
  <c r="L92" i="77" s="1"/>
  <c r="T92" i="77"/>
  <c r="S92" i="77"/>
  <c r="V91" i="77"/>
  <c r="U91" i="77"/>
  <c r="T91" i="77"/>
  <c r="S91" i="77"/>
  <c r="V90" i="77"/>
  <c r="U90" i="77"/>
  <c r="T90" i="77"/>
  <c r="S90" i="77"/>
  <c r="V25" i="46"/>
  <c r="U25" i="46"/>
  <c r="T25" i="46"/>
  <c r="S25" i="46"/>
  <c r="V24" i="46"/>
  <c r="U24" i="46"/>
  <c r="T24" i="46"/>
  <c r="S24" i="46"/>
  <c r="W24" i="46" s="1"/>
  <c r="K24" i="46" s="1"/>
  <c r="L24" i="46" s="1"/>
  <c r="V20" i="46"/>
  <c r="U20" i="46"/>
  <c r="T20" i="46"/>
  <c r="S20" i="46"/>
  <c r="W20" i="46" s="1"/>
  <c r="K20" i="46" s="1"/>
  <c r="L20" i="46" s="1"/>
  <c r="V7" i="3"/>
  <c r="U7" i="3"/>
  <c r="T7" i="3"/>
  <c r="S7" i="3"/>
  <c r="V16" i="3"/>
  <c r="U16" i="3"/>
  <c r="T16" i="3"/>
  <c r="S16" i="3"/>
  <c r="V34" i="3"/>
  <c r="U34" i="3"/>
  <c r="T34" i="3"/>
  <c r="S34" i="3"/>
  <c r="V33" i="3"/>
  <c r="U33" i="3"/>
  <c r="T33" i="3"/>
  <c r="S33" i="3"/>
  <c r="V25" i="3"/>
  <c r="U25" i="3"/>
  <c r="T25" i="3"/>
  <c r="S25" i="3"/>
  <c r="W25" i="3" s="1"/>
  <c r="K25" i="3" s="1"/>
  <c r="L25" i="3" s="1"/>
  <c r="W25" i="46"/>
  <c r="K25" i="46" s="1"/>
  <c r="L25" i="46" s="1"/>
  <c r="W25" i="70"/>
  <c r="K25" i="70"/>
  <c r="L25" i="70"/>
  <c r="W27" i="70"/>
  <c r="K27" i="70"/>
  <c r="L27" i="70"/>
  <c r="W91" i="77"/>
  <c r="K91" i="77" s="1"/>
  <c r="L91" i="77" s="1"/>
  <c r="S7" i="73"/>
  <c r="T7" i="73"/>
  <c r="U7" i="73"/>
  <c r="V7" i="73"/>
  <c r="S11" i="70"/>
  <c r="T11" i="70"/>
  <c r="U11" i="70"/>
  <c r="V11" i="70"/>
  <c r="W11" i="70"/>
  <c r="K11" i="70" s="1"/>
  <c r="L11" i="70" s="1"/>
  <c r="S36" i="71"/>
  <c r="T36" i="71"/>
  <c r="U36" i="71"/>
  <c r="V36" i="71"/>
  <c r="S38" i="71"/>
  <c r="T38" i="71"/>
  <c r="U38" i="71"/>
  <c r="V38" i="71"/>
  <c r="S26" i="71"/>
  <c r="T26" i="71"/>
  <c r="U26" i="71"/>
  <c r="V26" i="71"/>
  <c r="S27" i="71"/>
  <c r="W27" i="71" s="1"/>
  <c r="K27" i="71" s="1"/>
  <c r="L27" i="71" s="1"/>
  <c r="T27" i="71"/>
  <c r="U27" i="71"/>
  <c r="V27" i="71"/>
  <c r="S28" i="71"/>
  <c r="T28" i="71"/>
  <c r="U28" i="71"/>
  <c r="V28" i="71"/>
  <c r="S29" i="71"/>
  <c r="T29" i="71"/>
  <c r="U29" i="71"/>
  <c r="V29" i="71"/>
  <c r="S30" i="71"/>
  <c r="T30" i="71"/>
  <c r="U30" i="71"/>
  <c r="V30" i="71"/>
  <c r="S31" i="71"/>
  <c r="T31" i="71"/>
  <c r="U31" i="71"/>
  <c r="V31" i="71"/>
  <c r="S32" i="71"/>
  <c r="T32" i="71"/>
  <c r="U32" i="71"/>
  <c r="V32" i="71"/>
  <c r="S33" i="71"/>
  <c r="T33" i="71"/>
  <c r="U33" i="71"/>
  <c r="V33" i="71"/>
  <c r="S34" i="71"/>
  <c r="W34" i="71" s="1"/>
  <c r="K34" i="71" s="1"/>
  <c r="L34" i="71" s="1"/>
  <c r="T34" i="71"/>
  <c r="U34" i="71"/>
  <c r="V34" i="71"/>
  <c r="S51" i="77"/>
  <c r="T51" i="77"/>
  <c r="U51" i="77"/>
  <c r="V51" i="77"/>
  <c r="V5" i="80"/>
  <c r="V6" i="80"/>
  <c r="V7" i="80"/>
  <c r="V8" i="80"/>
  <c r="V9" i="80"/>
  <c r="V10" i="80"/>
  <c r="V11" i="80"/>
  <c r="V12" i="80"/>
  <c r="V13" i="80"/>
  <c r="V14" i="80"/>
  <c r="V15" i="80"/>
  <c r="W15" i="80" s="1"/>
  <c r="K15" i="80" s="1"/>
  <c r="L15" i="80" s="1"/>
  <c r="V16" i="80"/>
  <c r="V17" i="80"/>
  <c r="V18" i="80"/>
  <c r="V19" i="80"/>
  <c r="W19" i="80" s="1"/>
  <c r="K19" i="80" s="1"/>
  <c r="L19" i="80" s="1"/>
  <c r="V20" i="80"/>
  <c r="V21" i="80"/>
  <c r="V22" i="80"/>
  <c r="V23" i="80"/>
  <c r="V24" i="80"/>
  <c r="V25" i="80"/>
  <c r="V26" i="80"/>
  <c r="V27" i="80"/>
  <c r="V28" i="80"/>
  <c r="W28" i="80" s="1"/>
  <c r="K28" i="80" s="1"/>
  <c r="L28" i="80" s="1"/>
  <c r="U15" i="80"/>
  <c r="U16" i="80"/>
  <c r="U17" i="80"/>
  <c r="W17" i="80" s="1"/>
  <c r="K17" i="80" s="1"/>
  <c r="L17" i="80" s="1"/>
  <c r="U18" i="80"/>
  <c r="W18" i="80" s="1"/>
  <c r="K18" i="80" s="1"/>
  <c r="L18" i="80" s="1"/>
  <c r="U19" i="80"/>
  <c r="U20" i="80"/>
  <c r="U21" i="80"/>
  <c r="W21" i="80" s="1"/>
  <c r="K21" i="80" s="1"/>
  <c r="L21" i="80" s="1"/>
  <c r="U22" i="80"/>
  <c r="U23" i="80"/>
  <c r="U24" i="80"/>
  <c r="U25" i="80"/>
  <c r="W25" i="80" s="1"/>
  <c r="K25" i="80" s="1"/>
  <c r="L25" i="80" s="1"/>
  <c r="U26" i="80"/>
  <c r="W26" i="80" s="1"/>
  <c r="K26" i="80" s="1"/>
  <c r="L26" i="80" s="1"/>
  <c r="U27" i="80"/>
  <c r="U28" i="80"/>
  <c r="U5" i="80"/>
  <c r="U6" i="80"/>
  <c r="W6" i="80" s="1"/>
  <c r="K6" i="80" s="1"/>
  <c r="L6" i="80" s="1"/>
  <c r="U7" i="80"/>
  <c r="U8" i="80"/>
  <c r="U9" i="80"/>
  <c r="U10" i="80"/>
  <c r="U11" i="80"/>
  <c r="U12" i="80"/>
  <c r="U13" i="80"/>
  <c r="U14" i="80"/>
  <c r="T5" i="80"/>
  <c r="T6" i="80"/>
  <c r="T7" i="80"/>
  <c r="T8" i="80"/>
  <c r="T9" i="80"/>
  <c r="T10" i="80"/>
  <c r="T11" i="80"/>
  <c r="W11" i="80" s="1"/>
  <c r="K11" i="80" s="1"/>
  <c r="L11" i="80" s="1"/>
  <c r="T12" i="80"/>
  <c r="T13" i="80"/>
  <c r="T14" i="80"/>
  <c r="T15" i="80"/>
  <c r="T16" i="80"/>
  <c r="T17" i="80"/>
  <c r="T18" i="80"/>
  <c r="T19" i="80"/>
  <c r="T20" i="80"/>
  <c r="T21" i="80"/>
  <c r="T22" i="80"/>
  <c r="T23" i="80"/>
  <c r="T24" i="80"/>
  <c r="T25" i="80"/>
  <c r="T26" i="80"/>
  <c r="T27" i="80"/>
  <c r="T28" i="80"/>
  <c r="S5" i="80"/>
  <c r="S6" i="80"/>
  <c r="S7" i="80"/>
  <c r="S8" i="80"/>
  <c r="S9" i="80"/>
  <c r="S10" i="80"/>
  <c r="S11" i="80"/>
  <c r="S12" i="80"/>
  <c r="S13" i="80"/>
  <c r="S14" i="80"/>
  <c r="S15" i="80"/>
  <c r="S16" i="80"/>
  <c r="W16" i="80" s="1"/>
  <c r="K16" i="80" s="1"/>
  <c r="L16" i="80" s="1"/>
  <c r="S17" i="80"/>
  <c r="S18" i="80"/>
  <c r="S19" i="80"/>
  <c r="S20" i="80"/>
  <c r="W20" i="80" s="1"/>
  <c r="K20" i="80" s="1"/>
  <c r="L20" i="80" s="1"/>
  <c r="S21" i="80"/>
  <c r="S22" i="80"/>
  <c r="S23" i="80"/>
  <c r="W23" i="80" s="1"/>
  <c r="K23" i="80" s="1"/>
  <c r="L23" i="80" s="1"/>
  <c r="S24" i="80"/>
  <c r="S25" i="80"/>
  <c r="S26" i="80"/>
  <c r="S27" i="80"/>
  <c r="W27" i="80" s="1"/>
  <c r="K27" i="80" s="1"/>
  <c r="L27" i="80" s="1"/>
  <c r="S28" i="80"/>
  <c r="V4" i="80"/>
  <c r="U4" i="80"/>
  <c r="T4" i="80"/>
  <c r="S4" i="80"/>
  <c r="S4" i="69"/>
  <c r="W9" i="80"/>
  <c r="K9" i="80"/>
  <c r="L9" i="80"/>
  <c r="W14" i="80"/>
  <c r="K14" i="80"/>
  <c r="W8" i="80"/>
  <c r="K8" i="80" s="1"/>
  <c r="L8" i="80" s="1"/>
  <c r="V5" i="77"/>
  <c r="V6" i="77"/>
  <c r="V7" i="77"/>
  <c r="V8" i="77"/>
  <c r="V9" i="77"/>
  <c r="V10" i="77"/>
  <c r="V11" i="77"/>
  <c r="V12" i="77"/>
  <c r="V13" i="77"/>
  <c r="V14" i="77"/>
  <c r="V16" i="77"/>
  <c r="V17" i="77"/>
  <c r="V18" i="77"/>
  <c r="V19" i="77"/>
  <c r="V20" i="77"/>
  <c r="V21" i="77"/>
  <c r="V22" i="77"/>
  <c r="V23" i="77"/>
  <c r="V25" i="77"/>
  <c r="V26" i="77"/>
  <c r="V27" i="77"/>
  <c r="V28" i="77"/>
  <c r="V29" i="77"/>
  <c r="V30" i="77"/>
  <c r="V31" i="77"/>
  <c r="V32" i="77"/>
  <c r="V33" i="77"/>
  <c r="V34" i="77"/>
  <c r="W34" i="77" s="1"/>
  <c r="K34" i="77" s="1"/>
  <c r="L34" i="77" s="1"/>
  <c r="V35" i="77"/>
  <c r="V36" i="77"/>
  <c r="V37" i="77"/>
  <c r="V38" i="77"/>
  <c r="V40" i="77"/>
  <c r="V41" i="77"/>
  <c r="V43" i="77"/>
  <c r="V44" i="77"/>
  <c r="V45" i="77"/>
  <c r="V46" i="77"/>
  <c r="V47" i="77"/>
  <c r="V52" i="77"/>
  <c r="V53" i="77"/>
  <c r="V54" i="77"/>
  <c r="V55" i="77"/>
  <c r="V56" i="77"/>
  <c r="V57" i="77"/>
  <c r="V58" i="77"/>
  <c r="V59" i="77"/>
  <c r="V60" i="77"/>
  <c r="V61" i="77"/>
  <c r="V62" i="77"/>
  <c r="V63" i="77"/>
  <c r="V64" i="77"/>
  <c r="V65" i="77"/>
  <c r="V66" i="77"/>
  <c r="V67" i="77"/>
  <c r="V68" i="77"/>
  <c r="V69" i="77"/>
  <c r="V70" i="77"/>
  <c r="V71" i="77"/>
  <c r="V72" i="77"/>
  <c r="V73" i="77"/>
  <c r="V74" i="77"/>
  <c r="V76" i="77"/>
  <c r="V77" i="77"/>
  <c r="V78" i="77"/>
  <c r="V79" i="77"/>
  <c r="V80" i="77"/>
  <c r="V81" i="77"/>
  <c r="V82" i="77"/>
  <c r="V83" i="77"/>
  <c r="V84" i="77"/>
  <c r="V87" i="77"/>
  <c r="V88" i="77"/>
  <c r="V89" i="77"/>
  <c r="U5" i="77"/>
  <c r="U6" i="77"/>
  <c r="U7" i="77"/>
  <c r="U8" i="77"/>
  <c r="U9" i="77"/>
  <c r="U10" i="77"/>
  <c r="U11" i="77"/>
  <c r="U12" i="77"/>
  <c r="U13" i="77"/>
  <c r="U14" i="77"/>
  <c r="U16" i="77"/>
  <c r="U17" i="77"/>
  <c r="U18" i="77"/>
  <c r="U19" i="77"/>
  <c r="U20" i="77"/>
  <c r="U21" i="77"/>
  <c r="U22" i="77"/>
  <c r="U23" i="77"/>
  <c r="U25" i="77"/>
  <c r="U26" i="77"/>
  <c r="U27" i="77"/>
  <c r="U28" i="77"/>
  <c r="U29" i="77"/>
  <c r="U30" i="77"/>
  <c r="U31" i="77"/>
  <c r="W31" i="77" s="1"/>
  <c r="K31" i="77" s="1"/>
  <c r="L31" i="77" s="1"/>
  <c r="U32" i="77"/>
  <c r="U33" i="77"/>
  <c r="U34" i="77"/>
  <c r="U35" i="77"/>
  <c r="U36" i="77"/>
  <c r="U37" i="77"/>
  <c r="U38" i="77"/>
  <c r="U40" i="77"/>
  <c r="U41" i="77"/>
  <c r="U43" i="77"/>
  <c r="U44" i="77"/>
  <c r="U45" i="77"/>
  <c r="U46" i="77"/>
  <c r="U47" i="77"/>
  <c r="U52" i="77"/>
  <c r="U53" i="77"/>
  <c r="U54" i="77"/>
  <c r="U55" i="77"/>
  <c r="U56" i="77"/>
  <c r="U57" i="77"/>
  <c r="U58" i="77"/>
  <c r="U59" i="77"/>
  <c r="U60" i="77"/>
  <c r="U61" i="77"/>
  <c r="U62" i="77"/>
  <c r="U63" i="77"/>
  <c r="U64" i="77"/>
  <c r="U65" i="77"/>
  <c r="U66" i="77"/>
  <c r="U67" i="77"/>
  <c r="U68" i="77"/>
  <c r="U69" i="77"/>
  <c r="U70" i="77"/>
  <c r="U71" i="77"/>
  <c r="U72" i="77"/>
  <c r="U73" i="77"/>
  <c r="W73" i="77" s="1"/>
  <c r="K73" i="77" s="1"/>
  <c r="L73" i="77" s="1"/>
  <c r="U74" i="77"/>
  <c r="U76" i="77"/>
  <c r="U77" i="77"/>
  <c r="U78" i="77"/>
  <c r="U79" i="77"/>
  <c r="U80" i="77"/>
  <c r="U81" i="77"/>
  <c r="U82" i="77"/>
  <c r="U83" i="77"/>
  <c r="U84" i="77"/>
  <c r="U87" i="77"/>
  <c r="U88" i="77"/>
  <c r="U89" i="77"/>
  <c r="T5" i="77"/>
  <c r="T6" i="77"/>
  <c r="T7" i="77"/>
  <c r="T8" i="77"/>
  <c r="T9" i="77"/>
  <c r="T10" i="77"/>
  <c r="T11" i="77"/>
  <c r="T12" i="77"/>
  <c r="T13" i="77"/>
  <c r="T14" i="77"/>
  <c r="T16" i="77"/>
  <c r="T17" i="77"/>
  <c r="T18" i="77"/>
  <c r="T19" i="77"/>
  <c r="T20" i="77"/>
  <c r="W20" i="77" s="1"/>
  <c r="K20" i="77" s="1"/>
  <c r="L20" i="77" s="1"/>
  <c r="T21" i="77"/>
  <c r="T22" i="77"/>
  <c r="T23" i="77"/>
  <c r="T25" i="77"/>
  <c r="T26" i="77"/>
  <c r="T27" i="77"/>
  <c r="T28" i="77"/>
  <c r="T29" i="77"/>
  <c r="T30" i="77"/>
  <c r="T31" i="77"/>
  <c r="T32" i="77"/>
  <c r="T33" i="77"/>
  <c r="T34" i="77"/>
  <c r="T35" i="77"/>
  <c r="T36" i="77"/>
  <c r="T37" i="77"/>
  <c r="T38" i="77"/>
  <c r="T40" i="77"/>
  <c r="T41" i="77"/>
  <c r="T43" i="77"/>
  <c r="T44" i="77"/>
  <c r="T45" i="77"/>
  <c r="T46" i="77"/>
  <c r="T47" i="77"/>
  <c r="T52" i="77"/>
  <c r="T53" i="77"/>
  <c r="T54" i="77"/>
  <c r="T55" i="77"/>
  <c r="T56" i="77"/>
  <c r="T57" i="77"/>
  <c r="T58" i="77"/>
  <c r="T59" i="77"/>
  <c r="T60" i="77"/>
  <c r="T61" i="77"/>
  <c r="T62" i="77"/>
  <c r="T63" i="77"/>
  <c r="T64" i="77"/>
  <c r="T65" i="77"/>
  <c r="T66" i="77"/>
  <c r="T67" i="77"/>
  <c r="T68" i="77"/>
  <c r="T69" i="77"/>
  <c r="T70" i="77"/>
  <c r="T71" i="77"/>
  <c r="T72" i="77"/>
  <c r="T73" i="77"/>
  <c r="T74" i="77"/>
  <c r="T76" i="77"/>
  <c r="T77" i="77"/>
  <c r="T78" i="77"/>
  <c r="T79" i="77"/>
  <c r="T80" i="77"/>
  <c r="T81" i="77"/>
  <c r="T82" i="77"/>
  <c r="T83" i="77"/>
  <c r="T84" i="77"/>
  <c r="W84" i="77" s="1"/>
  <c r="K84" i="77" s="1"/>
  <c r="L84" i="77" s="1"/>
  <c r="T87" i="77"/>
  <c r="T88" i="77"/>
  <c r="T89" i="77"/>
  <c r="S5" i="77"/>
  <c r="S6" i="77"/>
  <c r="S7" i="77"/>
  <c r="S8" i="77"/>
  <c r="S9" i="77"/>
  <c r="W9" i="77" s="1"/>
  <c r="K9" i="77" s="1"/>
  <c r="L9" i="77" s="1"/>
  <c r="S10" i="77"/>
  <c r="S11" i="77"/>
  <c r="S12" i="77"/>
  <c r="S13" i="77"/>
  <c r="S14" i="77"/>
  <c r="S16" i="77"/>
  <c r="W16" i="77" s="1"/>
  <c r="K16" i="77" s="1"/>
  <c r="L16" i="77" s="1"/>
  <c r="S17" i="77"/>
  <c r="W17" i="77" s="1"/>
  <c r="K17" i="77" s="1"/>
  <c r="L17" i="77" s="1"/>
  <c r="S18" i="77"/>
  <c r="W18" i="77" s="1"/>
  <c r="K18" i="77" s="1"/>
  <c r="L18" i="77" s="1"/>
  <c r="S19" i="77"/>
  <c r="S20" i="77"/>
  <c r="S21" i="77"/>
  <c r="S22" i="77"/>
  <c r="S23" i="77"/>
  <c r="S25" i="77"/>
  <c r="S26" i="77"/>
  <c r="W26" i="77" s="1"/>
  <c r="K26" i="77" s="1"/>
  <c r="L26" i="77" s="1"/>
  <c r="S27" i="77"/>
  <c r="S28" i="77"/>
  <c r="W28" i="77" s="1"/>
  <c r="K28" i="77" s="1"/>
  <c r="L28" i="77" s="1"/>
  <c r="S29" i="77"/>
  <c r="S30" i="77"/>
  <c r="S31" i="77"/>
  <c r="S32" i="77"/>
  <c r="W32" i="77" s="1"/>
  <c r="K32" i="77" s="1"/>
  <c r="L32" i="77" s="1"/>
  <c r="S33" i="77"/>
  <c r="S34" i="77"/>
  <c r="S35" i="77"/>
  <c r="S36" i="77"/>
  <c r="S37" i="77"/>
  <c r="W37" i="77" s="1"/>
  <c r="K37" i="77" s="1"/>
  <c r="L37" i="77" s="1"/>
  <c r="S38" i="77"/>
  <c r="S40" i="77"/>
  <c r="S41" i="77"/>
  <c r="S43" i="77"/>
  <c r="S44" i="77"/>
  <c r="S45" i="77"/>
  <c r="W45" i="77" s="1"/>
  <c r="K45" i="77" s="1"/>
  <c r="L45" i="77" s="1"/>
  <c r="S46" i="77"/>
  <c r="W46" i="77" s="1"/>
  <c r="K46" i="77" s="1"/>
  <c r="L46" i="77" s="1"/>
  <c r="S47" i="77"/>
  <c r="S52" i="77"/>
  <c r="S53" i="77"/>
  <c r="W53" i="77" s="1"/>
  <c r="K53" i="77" s="1"/>
  <c r="L53" i="77" s="1"/>
  <c r="S54" i="77"/>
  <c r="S55" i="77"/>
  <c r="W55" i="77" s="1"/>
  <c r="K55" i="77" s="1"/>
  <c r="L55" i="77" s="1"/>
  <c r="S56" i="77"/>
  <c r="S57" i="77"/>
  <c r="S58" i="77"/>
  <c r="W58" i="77" s="1"/>
  <c r="K58" i="77" s="1"/>
  <c r="L58" i="77" s="1"/>
  <c r="S59" i="77"/>
  <c r="S60" i="77"/>
  <c r="S61" i="77"/>
  <c r="S62" i="77"/>
  <c r="S63" i="77"/>
  <c r="S64" i="77"/>
  <c r="S65" i="77"/>
  <c r="S66" i="77"/>
  <c r="S67" i="77"/>
  <c r="S68" i="77"/>
  <c r="S69" i="77"/>
  <c r="S70" i="77"/>
  <c r="W70" i="77" s="1"/>
  <c r="K70" i="77" s="1"/>
  <c r="L70" i="77" s="1"/>
  <c r="S71" i="77"/>
  <c r="S72" i="77"/>
  <c r="S73" i="77"/>
  <c r="S74" i="77"/>
  <c r="S76" i="77"/>
  <c r="S77" i="77"/>
  <c r="S78" i="77"/>
  <c r="W78" i="77" s="1"/>
  <c r="K78" i="77" s="1"/>
  <c r="L78" i="77" s="1"/>
  <c r="S79" i="77"/>
  <c r="W79" i="77" s="1"/>
  <c r="K79" i="77" s="1"/>
  <c r="L79" i="77" s="1"/>
  <c r="S80" i="77"/>
  <c r="S81" i="77"/>
  <c r="S82" i="77"/>
  <c r="S83" i="77"/>
  <c r="S84" i="77"/>
  <c r="S87" i="77"/>
  <c r="S88" i="77"/>
  <c r="W88" i="77" s="1"/>
  <c r="K88" i="77" s="1"/>
  <c r="L88" i="77" s="1"/>
  <c r="S89" i="77"/>
  <c r="S4" i="77"/>
  <c r="V4" i="77"/>
  <c r="U4" i="77"/>
  <c r="T4" i="77"/>
  <c r="S9" i="67"/>
  <c r="S4" i="67"/>
  <c r="W63" i="77"/>
  <c r="K63" i="77" s="1"/>
  <c r="L63" i="77" s="1"/>
  <c r="W71" i="77"/>
  <c r="K71" i="77" s="1"/>
  <c r="L71" i="77" s="1"/>
  <c r="W59" i="77"/>
  <c r="K59" i="77" s="1"/>
  <c r="L59" i="77" s="1"/>
  <c r="W69" i="77"/>
  <c r="K69" i="77" s="1"/>
  <c r="L69" i="77" s="1"/>
  <c r="W61" i="77"/>
  <c r="K61" i="77" s="1"/>
  <c r="L61" i="77" s="1"/>
  <c r="V5" i="74"/>
  <c r="V6" i="74"/>
  <c r="V7" i="74"/>
  <c r="V8" i="74"/>
  <c r="V9" i="74"/>
  <c r="V10" i="74"/>
  <c r="V11" i="74"/>
  <c r="V12" i="74"/>
  <c r="V13" i="74"/>
  <c r="V14" i="74"/>
  <c r="V15" i="74"/>
  <c r="V16" i="74"/>
  <c r="V17" i="74"/>
  <c r="V18" i="74"/>
  <c r="V19" i="74"/>
  <c r="U5" i="74"/>
  <c r="U6" i="74"/>
  <c r="U7" i="74"/>
  <c r="U8" i="74"/>
  <c r="U9" i="74"/>
  <c r="W9" i="74" s="1"/>
  <c r="K9" i="74" s="1"/>
  <c r="L9" i="74" s="1"/>
  <c r="U10" i="74"/>
  <c r="U11" i="74"/>
  <c r="U12" i="74"/>
  <c r="U13" i="74"/>
  <c r="U14" i="74"/>
  <c r="U15" i="74"/>
  <c r="U16" i="74"/>
  <c r="U17" i="74"/>
  <c r="U18" i="74"/>
  <c r="U19" i="74"/>
  <c r="T5" i="74"/>
  <c r="T6" i="74"/>
  <c r="T7" i="74"/>
  <c r="T8" i="74"/>
  <c r="T9" i="74"/>
  <c r="T10" i="74"/>
  <c r="T11" i="74"/>
  <c r="T12" i="74"/>
  <c r="T13" i="74"/>
  <c r="T14" i="74"/>
  <c r="T15" i="74"/>
  <c r="T16" i="74"/>
  <c r="T17" i="74"/>
  <c r="T18" i="74"/>
  <c r="T19" i="74"/>
  <c r="S5" i="74"/>
  <c r="S6" i="74"/>
  <c r="S7" i="74"/>
  <c r="W7" i="74" s="1"/>
  <c r="K7" i="74" s="1"/>
  <c r="L7" i="74" s="1"/>
  <c r="S8" i="74"/>
  <c r="S9" i="74"/>
  <c r="S10" i="74"/>
  <c r="S11" i="74"/>
  <c r="S12" i="74"/>
  <c r="S13" i="74"/>
  <c r="S14" i="74"/>
  <c r="S15" i="74"/>
  <c r="S16" i="74"/>
  <c r="S17" i="74"/>
  <c r="S18" i="74"/>
  <c r="S19" i="74"/>
  <c r="W19" i="74" s="1"/>
  <c r="K19" i="74" s="1"/>
  <c r="L19" i="74" s="1"/>
  <c r="X15" i="74" s="1"/>
  <c r="M15" i="74" s="1"/>
  <c r="N15" i="74" s="1"/>
  <c r="V4" i="74"/>
  <c r="U4" i="74"/>
  <c r="T4" i="74"/>
  <c r="S4" i="74"/>
  <c r="W4" i="74" s="1"/>
  <c r="K4" i="74" s="1"/>
  <c r="L4" i="74" s="1"/>
  <c r="V5" i="73"/>
  <c r="V6" i="73"/>
  <c r="V8" i="73"/>
  <c r="V9" i="73"/>
  <c r="V10" i="73"/>
  <c r="V11" i="73"/>
  <c r="V12" i="73"/>
  <c r="V13" i="73"/>
  <c r="V14" i="73"/>
  <c r="V15" i="73"/>
  <c r="V16" i="73"/>
  <c r="V17" i="73"/>
  <c r="V18" i="73"/>
  <c r="V19" i="73"/>
  <c r="V20" i="73"/>
  <c r="V21" i="73"/>
  <c r="V22" i="73"/>
  <c r="V23" i="73"/>
  <c r="V24" i="73"/>
  <c r="V25" i="73"/>
  <c r="V26" i="73"/>
  <c r="V27" i="73"/>
  <c r="V29" i="73"/>
  <c r="V30" i="73"/>
  <c r="V31" i="73"/>
  <c r="V32" i="73"/>
  <c r="V33" i="73"/>
  <c r="V34" i="73"/>
  <c r="U5" i="73"/>
  <c r="U6" i="73"/>
  <c r="U8" i="73"/>
  <c r="U9" i="73"/>
  <c r="U10" i="73"/>
  <c r="U11" i="73"/>
  <c r="U12" i="73"/>
  <c r="U13" i="73"/>
  <c r="U14" i="73"/>
  <c r="U15" i="73"/>
  <c r="U16" i="73"/>
  <c r="U17" i="73"/>
  <c r="U18" i="73"/>
  <c r="U19" i="73"/>
  <c r="U20" i="73"/>
  <c r="U21" i="73"/>
  <c r="U22" i="73"/>
  <c r="U23" i="73"/>
  <c r="U24" i="73"/>
  <c r="U25" i="73"/>
  <c r="U26" i="73"/>
  <c r="U27" i="73"/>
  <c r="U29" i="73"/>
  <c r="U30" i="73"/>
  <c r="U31" i="73"/>
  <c r="W31" i="73" s="1"/>
  <c r="K31" i="73" s="1"/>
  <c r="L31" i="73" s="1"/>
  <c r="U32" i="73"/>
  <c r="U33" i="73"/>
  <c r="U34" i="73"/>
  <c r="T5" i="73"/>
  <c r="T6" i="73"/>
  <c r="T8" i="73"/>
  <c r="T9" i="73"/>
  <c r="T10" i="73"/>
  <c r="T11" i="73"/>
  <c r="T12" i="73"/>
  <c r="T13" i="73"/>
  <c r="T14" i="73"/>
  <c r="T15" i="73"/>
  <c r="T16" i="73"/>
  <c r="T17" i="73"/>
  <c r="T18" i="73"/>
  <c r="T19" i="73"/>
  <c r="T20" i="73"/>
  <c r="T21" i="73"/>
  <c r="T22" i="73"/>
  <c r="T23" i="73"/>
  <c r="T24" i="73"/>
  <c r="T25" i="73"/>
  <c r="T26" i="73"/>
  <c r="T27" i="73"/>
  <c r="T29" i="73"/>
  <c r="T30" i="73"/>
  <c r="T31" i="73"/>
  <c r="T32" i="73"/>
  <c r="T33" i="73"/>
  <c r="T34" i="73"/>
  <c r="S5" i="73"/>
  <c r="W5" i="73" s="1"/>
  <c r="K5" i="73" s="1"/>
  <c r="L5" i="73" s="1"/>
  <c r="S6" i="73"/>
  <c r="W6" i="73" s="1"/>
  <c r="K6" i="73" s="1"/>
  <c r="L6" i="73" s="1"/>
  <c r="S8" i="73"/>
  <c r="S9" i="73"/>
  <c r="S10" i="73"/>
  <c r="S11" i="73"/>
  <c r="S12" i="73"/>
  <c r="S13" i="73"/>
  <c r="S14" i="73"/>
  <c r="S15" i="73"/>
  <c r="S16" i="73"/>
  <c r="S17" i="73"/>
  <c r="S18" i="73"/>
  <c r="W18" i="73" s="1"/>
  <c r="K18" i="73" s="1"/>
  <c r="L18" i="73" s="1"/>
  <c r="S19" i="73"/>
  <c r="S20" i="73"/>
  <c r="S21" i="73"/>
  <c r="S22" i="73"/>
  <c r="S23" i="73"/>
  <c r="S24" i="73"/>
  <c r="S25" i="73"/>
  <c r="S26" i="73"/>
  <c r="W26" i="73" s="1"/>
  <c r="K26" i="73" s="1"/>
  <c r="L26" i="73" s="1"/>
  <c r="S27" i="73"/>
  <c r="S29" i="73"/>
  <c r="S30" i="73"/>
  <c r="S31" i="73"/>
  <c r="S32" i="73"/>
  <c r="W32" i="73" s="1"/>
  <c r="K32" i="73" s="1"/>
  <c r="L32" i="73" s="1"/>
  <c r="S33" i="73"/>
  <c r="S34" i="73"/>
  <c r="W34" i="73" s="1"/>
  <c r="K34" i="73" s="1"/>
  <c r="L34" i="73" s="1"/>
  <c r="V4" i="73"/>
  <c r="U4" i="73"/>
  <c r="T4" i="73"/>
  <c r="S4" i="73"/>
  <c r="W16" i="74"/>
  <c r="K16" i="74"/>
  <c r="L16" i="74"/>
  <c r="W12" i="74"/>
  <c r="K12" i="74"/>
  <c r="L12" i="74"/>
  <c r="W10" i="74"/>
  <c r="K10" i="74"/>
  <c r="W8" i="74"/>
  <c r="K8" i="74"/>
  <c r="L8" i="74"/>
  <c r="W18" i="74"/>
  <c r="K18" i="74"/>
  <c r="W15" i="74"/>
  <c r="K15" i="74"/>
  <c r="L15" i="74"/>
  <c r="W17" i="74"/>
  <c r="K17" i="74"/>
  <c r="L17" i="74"/>
  <c r="W14" i="74"/>
  <c r="W11" i="74"/>
  <c r="W6" i="74"/>
  <c r="K11" i="74"/>
  <c r="L11" i="74"/>
  <c r="K6" i="74"/>
  <c r="L6" i="74"/>
  <c r="K14" i="74"/>
  <c r="L14" i="74"/>
  <c r="V5" i="72"/>
  <c r="V6" i="72"/>
  <c r="V7" i="72"/>
  <c r="V8" i="72"/>
  <c r="V9" i="72"/>
  <c r="V11" i="72"/>
  <c r="V12" i="72"/>
  <c r="V13" i="72"/>
  <c r="V14" i="72"/>
  <c r="V15" i="72"/>
  <c r="V16" i="72"/>
  <c r="V17" i="72"/>
  <c r="V25" i="72"/>
  <c r="V26" i="72"/>
  <c r="V27" i="72"/>
  <c r="V28" i="72"/>
  <c r="U5" i="72"/>
  <c r="U6" i="72"/>
  <c r="U7" i="72"/>
  <c r="U8" i="72"/>
  <c r="U9" i="72"/>
  <c r="W9" i="72" s="1"/>
  <c r="K9" i="72" s="1"/>
  <c r="L9" i="72" s="1"/>
  <c r="U11" i="72"/>
  <c r="U12" i="72"/>
  <c r="U13" i="72"/>
  <c r="U14" i="72"/>
  <c r="U15" i="72"/>
  <c r="U16" i="72"/>
  <c r="U17" i="72"/>
  <c r="U25" i="72"/>
  <c r="U26" i="72"/>
  <c r="U27" i="72"/>
  <c r="U28" i="72"/>
  <c r="T5" i="72"/>
  <c r="T6" i="72"/>
  <c r="T7" i="72"/>
  <c r="T8" i="72"/>
  <c r="T9" i="72"/>
  <c r="T11" i="72"/>
  <c r="T12" i="72"/>
  <c r="T13" i="72"/>
  <c r="T14" i="72"/>
  <c r="T15" i="72"/>
  <c r="T16" i="72"/>
  <c r="T17" i="72"/>
  <c r="T25" i="72"/>
  <c r="T26" i="72"/>
  <c r="T27" i="72"/>
  <c r="T28" i="72"/>
  <c r="S5" i="72"/>
  <c r="S6" i="72"/>
  <c r="S7" i="72"/>
  <c r="W7" i="72" s="1"/>
  <c r="K7" i="72" s="1"/>
  <c r="L7" i="72" s="1"/>
  <c r="S8" i="72"/>
  <c r="S9" i="72"/>
  <c r="S11" i="72"/>
  <c r="W11" i="72" s="1"/>
  <c r="K11" i="72" s="1"/>
  <c r="L11" i="72" s="1"/>
  <c r="S12" i="72"/>
  <c r="S13" i="72"/>
  <c r="S14" i="72"/>
  <c r="S15" i="72"/>
  <c r="S16" i="72"/>
  <c r="S17" i="72"/>
  <c r="S25" i="72"/>
  <c r="S26" i="72"/>
  <c r="S27" i="72"/>
  <c r="S28" i="72"/>
  <c r="W28" i="72" s="1"/>
  <c r="K28" i="72" s="1"/>
  <c r="L28" i="72" s="1"/>
  <c r="V4" i="72"/>
  <c r="U4" i="72"/>
  <c r="T4" i="72"/>
  <c r="W4" i="72" s="1"/>
  <c r="K4" i="72" s="1"/>
  <c r="L4" i="72" s="1"/>
  <c r="S4" i="72"/>
  <c r="V8" i="71"/>
  <c r="V9" i="71"/>
  <c r="V10" i="71"/>
  <c r="V11" i="71"/>
  <c r="V13" i="71"/>
  <c r="W13" i="71" s="1"/>
  <c r="K13" i="71" s="1"/>
  <c r="L13" i="71" s="1"/>
  <c r="V14" i="71"/>
  <c r="V15" i="71"/>
  <c r="V16" i="71"/>
  <c r="V17" i="71"/>
  <c r="V18" i="71"/>
  <c r="V19" i="71"/>
  <c r="V20" i="71"/>
  <c r="V21" i="71"/>
  <c r="V22" i="71"/>
  <c r="V23" i="71"/>
  <c r="V24" i="71"/>
  <c r="V25" i="71"/>
  <c r="V39" i="71"/>
  <c r="V40" i="71"/>
  <c r="V41" i="71"/>
  <c r="V42" i="71"/>
  <c r="V43" i="71"/>
  <c r="V44" i="71"/>
  <c r="V45" i="71"/>
  <c r="V46" i="71"/>
  <c r="V48" i="71"/>
  <c r="U8" i="71"/>
  <c r="U9" i="71"/>
  <c r="W9" i="71" s="1"/>
  <c r="K9" i="71" s="1"/>
  <c r="L9" i="71" s="1"/>
  <c r="U10" i="71"/>
  <c r="U11" i="71"/>
  <c r="U13" i="71"/>
  <c r="U14" i="71"/>
  <c r="U15" i="71"/>
  <c r="U16" i="71"/>
  <c r="U17" i="71"/>
  <c r="U18" i="71"/>
  <c r="U19" i="71"/>
  <c r="U20" i="71"/>
  <c r="U21" i="71"/>
  <c r="U22" i="71"/>
  <c r="U23" i="71"/>
  <c r="U24" i="71"/>
  <c r="U25" i="71"/>
  <c r="U39" i="71"/>
  <c r="W39" i="71" s="1"/>
  <c r="K39" i="71" s="1"/>
  <c r="L39" i="71" s="1"/>
  <c r="U40" i="71"/>
  <c r="U41" i="71"/>
  <c r="U42" i="71"/>
  <c r="U43" i="71"/>
  <c r="U44" i="71"/>
  <c r="U45" i="71"/>
  <c r="U46" i="71"/>
  <c r="U48" i="71"/>
  <c r="T8" i="71"/>
  <c r="T9" i="71"/>
  <c r="T10" i="71"/>
  <c r="T11" i="71"/>
  <c r="T13" i="71"/>
  <c r="T14" i="71"/>
  <c r="W14" i="71" s="1"/>
  <c r="K14" i="71" s="1"/>
  <c r="L14" i="71" s="1"/>
  <c r="T15" i="71"/>
  <c r="T16" i="71"/>
  <c r="T17" i="71"/>
  <c r="T18" i="71"/>
  <c r="T19" i="71"/>
  <c r="T20" i="71"/>
  <c r="T21" i="71"/>
  <c r="T22" i="71"/>
  <c r="T23" i="71"/>
  <c r="T24" i="71"/>
  <c r="T25" i="71"/>
  <c r="W25" i="71" s="1"/>
  <c r="K25" i="71" s="1"/>
  <c r="L25" i="71" s="1"/>
  <c r="T39" i="71"/>
  <c r="T40" i="71"/>
  <c r="T41" i="71"/>
  <c r="T42" i="71"/>
  <c r="T43" i="71"/>
  <c r="T44" i="71"/>
  <c r="T45" i="71"/>
  <c r="T46" i="71"/>
  <c r="T48" i="71"/>
  <c r="S8" i="71"/>
  <c r="S9" i="71"/>
  <c r="S10" i="71"/>
  <c r="S11" i="71"/>
  <c r="S13" i="71"/>
  <c r="S14" i="71"/>
  <c r="S15" i="71"/>
  <c r="S16" i="71"/>
  <c r="S17" i="71"/>
  <c r="W17" i="71" s="1"/>
  <c r="K17" i="71" s="1"/>
  <c r="L17" i="71" s="1"/>
  <c r="S18" i="71"/>
  <c r="S19" i="71"/>
  <c r="S20" i="71"/>
  <c r="S21" i="71"/>
  <c r="W21" i="71" s="1"/>
  <c r="K21" i="71" s="1"/>
  <c r="L21" i="71" s="1"/>
  <c r="S22" i="71"/>
  <c r="S23" i="71"/>
  <c r="S24" i="71"/>
  <c r="S25" i="71"/>
  <c r="S39" i="71"/>
  <c r="S40" i="71"/>
  <c r="S41" i="71"/>
  <c r="S42" i="71"/>
  <c r="W42" i="71" s="1"/>
  <c r="K42" i="71" s="1"/>
  <c r="L42" i="71" s="1"/>
  <c r="S43" i="71"/>
  <c r="S44" i="71"/>
  <c r="S45" i="71"/>
  <c r="S46" i="71"/>
  <c r="W46" i="71" s="1"/>
  <c r="K46" i="71" s="1"/>
  <c r="L46" i="71" s="1"/>
  <c r="S48" i="71"/>
  <c r="W48" i="71" s="1"/>
  <c r="K48" i="71" s="1"/>
  <c r="L48" i="71" s="1"/>
  <c r="V7" i="71"/>
  <c r="U7" i="71"/>
  <c r="T7" i="71"/>
  <c r="S7" i="71"/>
  <c r="V5" i="70"/>
  <c r="V6" i="70"/>
  <c r="V7" i="70"/>
  <c r="V8" i="70"/>
  <c r="V9" i="70"/>
  <c r="V10" i="70"/>
  <c r="V12" i="70"/>
  <c r="V13" i="70"/>
  <c r="V14" i="70"/>
  <c r="V15" i="70"/>
  <c r="V19" i="70"/>
  <c r="V20" i="70"/>
  <c r="V21" i="70"/>
  <c r="V22" i="70"/>
  <c r="V23" i="70"/>
  <c r="V24" i="70"/>
  <c r="U5" i="70"/>
  <c r="U6" i="70"/>
  <c r="U7" i="70"/>
  <c r="U8" i="70"/>
  <c r="U9" i="70"/>
  <c r="U10" i="70"/>
  <c r="U12" i="70"/>
  <c r="U13" i="70"/>
  <c r="U14" i="70"/>
  <c r="U15" i="70"/>
  <c r="U19" i="70"/>
  <c r="U20" i="70"/>
  <c r="U21" i="70"/>
  <c r="U22" i="70"/>
  <c r="W22" i="70" s="1"/>
  <c r="K22" i="70" s="1"/>
  <c r="L22" i="70" s="1"/>
  <c r="U23" i="70"/>
  <c r="U24" i="70"/>
  <c r="T5" i="70"/>
  <c r="T6" i="70"/>
  <c r="T7" i="70"/>
  <c r="T8" i="70"/>
  <c r="W8" i="70" s="1"/>
  <c r="K8" i="70" s="1"/>
  <c r="L8" i="70" s="1"/>
  <c r="T9" i="70"/>
  <c r="T10" i="70"/>
  <c r="T12" i="70"/>
  <c r="T13" i="70"/>
  <c r="T14" i="70"/>
  <c r="T15" i="70"/>
  <c r="T19" i="70"/>
  <c r="T20" i="70"/>
  <c r="T21" i="70"/>
  <c r="T22" i="70"/>
  <c r="T23" i="70"/>
  <c r="T24" i="70"/>
  <c r="S5" i="70"/>
  <c r="S6" i="70"/>
  <c r="W6" i="70" s="1"/>
  <c r="K6" i="70" s="1"/>
  <c r="L6" i="70" s="1"/>
  <c r="S7" i="70"/>
  <c r="S8" i="70"/>
  <c r="S9" i="70"/>
  <c r="S10" i="70"/>
  <c r="S12" i="70"/>
  <c r="S13" i="70"/>
  <c r="S14" i="70"/>
  <c r="S15" i="70"/>
  <c r="W15" i="70" s="1"/>
  <c r="K15" i="70" s="1"/>
  <c r="L15" i="70" s="1"/>
  <c r="S19" i="70"/>
  <c r="S20" i="70"/>
  <c r="W20" i="70" s="1"/>
  <c r="K20" i="70" s="1"/>
  <c r="L20" i="70" s="1"/>
  <c r="X20" i="70" s="1"/>
  <c r="M20" i="70" s="1"/>
  <c r="N20" i="70" s="1"/>
  <c r="S21" i="70"/>
  <c r="S22" i="70"/>
  <c r="S23" i="70"/>
  <c r="S24" i="70"/>
  <c r="V4" i="70"/>
  <c r="W4" i="70" s="1"/>
  <c r="K4" i="70" s="1"/>
  <c r="L4" i="70" s="1"/>
  <c r="U4" i="70"/>
  <c r="T4" i="70"/>
  <c r="S4" i="70"/>
  <c r="W10" i="70"/>
  <c r="K10" i="70"/>
  <c r="W5" i="72"/>
  <c r="K5" i="72" s="1"/>
  <c r="L5" i="72" s="1"/>
  <c r="W26" i="72"/>
  <c r="K26" i="72"/>
  <c r="L26" i="72"/>
  <c r="W17" i="72"/>
  <c r="W8" i="72"/>
  <c r="K8" i="72" s="1"/>
  <c r="L8" i="72" s="1"/>
  <c r="W12" i="70"/>
  <c r="K12" i="70"/>
  <c r="L12" i="70"/>
  <c r="W24" i="70"/>
  <c r="W13" i="72"/>
  <c r="W45" i="71"/>
  <c r="W24" i="71"/>
  <c r="W8" i="71"/>
  <c r="K8" i="71" s="1"/>
  <c r="L8" i="71" s="1"/>
  <c r="W25" i="72"/>
  <c r="K25" i="72" s="1"/>
  <c r="L25" i="72" s="1"/>
  <c r="W38" i="71"/>
  <c r="W6" i="72"/>
  <c r="W19" i="70"/>
  <c r="K19" i="70" s="1"/>
  <c r="L19" i="70" s="1"/>
  <c r="W36" i="71"/>
  <c r="W20" i="71"/>
  <c r="K20" i="71" s="1"/>
  <c r="L20" i="71" s="1"/>
  <c r="W16" i="71"/>
  <c r="K16" i="71" s="1"/>
  <c r="L16" i="71" s="1"/>
  <c r="W23" i="70"/>
  <c r="W13" i="70"/>
  <c r="K6" i="72"/>
  <c r="L6" i="72"/>
  <c r="K13" i="72"/>
  <c r="L13" i="72"/>
  <c r="K17" i="72"/>
  <c r="L17" i="72"/>
  <c r="K38" i="71"/>
  <c r="L38" i="71"/>
  <c r="K24" i="71"/>
  <c r="K36" i="71"/>
  <c r="L36" i="71"/>
  <c r="K45" i="71"/>
  <c r="L45" i="71"/>
  <c r="K23" i="70"/>
  <c r="L23" i="70"/>
  <c r="K13" i="70"/>
  <c r="K24" i="70"/>
  <c r="L24" i="70"/>
  <c r="S8" i="69"/>
  <c r="W8" i="69" s="1"/>
  <c r="K8" i="69" s="1"/>
  <c r="L8" i="69" s="1"/>
  <c r="S5" i="69"/>
  <c r="T5" i="69"/>
  <c r="W5" i="69" s="1"/>
  <c r="K5" i="69" s="1"/>
  <c r="L5" i="69" s="1"/>
  <c r="U5" i="69"/>
  <c r="V5" i="69"/>
  <c r="S6" i="69"/>
  <c r="T6" i="69"/>
  <c r="U6" i="69"/>
  <c r="V6" i="69"/>
  <c r="S7" i="69"/>
  <c r="W7" i="69" s="1"/>
  <c r="K7" i="69" s="1"/>
  <c r="L7" i="69" s="1"/>
  <c r="T7" i="69"/>
  <c r="U7" i="69"/>
  <c r="V7" i="69"/>
  <c r="T8" i="69"/>
  <c r="U8" i="69"/>
  <c r="V8" i="69"/>
  <c r="S9" i="69"/>
  <c r="T9" i="69"/>
  <c r="U9" i="69"/>
  <c r="V9" i="69"/>
  <c r="S10" i="69"/>
  <c r="T10" i="69"/>
  <c r="U10" i="69"/>
  <c r="V10" i="69"/>
  <c r="S11" i="69"/>
  <c r="T11" i="69"/>
  <c r="U11" i="69"/>
  <c r="V11" i="69"/>
  <c r="S12" i="69"/>
  <c r="T12" i="69"/>
  <c r="U12" i="69"/>
  <c r="V12" i="69"/>
  <c r="S13" i="69"/>
  <c r="T13" i="69"/>
  <c r="U13" i="69"/>
  <c r="V13" i="69"/>
  <c r="S14" i="69"/>
  <c r="T14" i="69"/>
  <c r="U14" i="69"/>
  <c r="V14" i="69"/>
  <c r="S15" i="69"/>
  <c r="T15" i="69"/>
  <c r="W15" i="69" s="1"/>
  <c r="K15" i="69" s="1"/>
  <c r="L15" i="69" s="1"/>
  <c r="U15" i="69"/>
  <c r="V15" i="69"/>
  <c r="S16" i="69"/>
  <c r="T16" i="69"/>
  <c r="U16" i="69"/>
  <c r="V16" i="69"/>
  <c r="S18" i="69"/>
  <c r="T18" i="69"/>
  <c r="W18" i="69" s="1"/>
  <c r="K18" i="69" s="1"/>
  <c r="L18" i="69" s="1"/>
  <c r="U18" i="69"/>
  <c r="V18" i="69"/>
  <c r="S19" i="69"/>
  <c r="T19" i="69"/>
  <c r="U19" i="69"/>
  <c r="V19" i="69"/>
  <c r="S20" i="69"/>
  <c r="T20" i="69"/>
  <c r="U20" i="69"/>
  <c r="V20" i="69"/>
  <c r="S21" i="69"/>
  <c r="T21" i="69"/>
  <c r="U21" i="69"/>
  <c r="V21" i="69"/>
  <c r="S22" i="69"/>
  <c r="T22" i="69"/>
  <c r="U22" i="69"/>
  <c r="V22" i="69"/>
  <c r="S23" i="69"/>
  <c r="T23" i="69"/>
  <c r="U23" i="69"/>
  <c r="V23" i="69"/>
  <c r="S24" i="69"/>
  <c r="T24" i="69"/>
  <c r="U24" i="69"/>
  <c r="V24" i="69"/>
  <c r="S25" i="69"/>
  <c r="T25" i="69"/>
  <c r="U25" i="69"/>
  <c r="V25" i="69"/>
  <c r="S26" i="69"/>
  <c r="T26" i="69"/>
  <c r="U26" i="69"/>
  <c r="V26" i="69"/>
  <c r="S27" i="69"/>
  <c r="T27" i="69"/>
  <c r="U27" i="69"/>
  <c r="V27" i="69"/>
  <c r="S28" i="69"/>
  <c r="T28" i="69"/>
  <c r="U28" i="69"/>
  <c r="V28" i="69"/>
  <c r="S29" i="69"/>
  <c r="T29" i="69"/>
  <c r="U29" i="69"/>
  <c r="V29" i="69"/>
  <c r="S30" i="69"/>
  <c r="T30" i="69"/>
  <c r="U30" i="69"/>
  <c r="V30" i="69"/>
  <c r="S32" i="69"/>
  <c r="T32" i="69"/>
  <c r="U32" i="69"/>
  <c r="V32" i="69"/>
  <c r="S33" i="69"/>
  <c r="T33" i="69"/>
  <c r="U33" i="69"/>
  <c r="V33" i="69"/>
  <c r="S34" i="69"/>
  <c r="T34" i="69"/>
  <c r="U34" i="69"/>
  <c r="V34" i="69"/>
  <c r="S35" i="69"/>
  <c r="T35" i="69"/>
  <c r="U35" i="69"/>
  <c r="V35" i="69"/>
  <c r="S36" i="69"/>
  <c r="T36" i="69"/>
  <c r="U36" i="69"/>
  <c r="V36" i="69"/>
  <c r="S37" i="69"/>
  <c r="T37" i="69"/>
  <c r="U37" i="69"/>
  <c r="V37" i="69"/>
  <c r="S38" i="69"/>
  <c r="T38" i="69"/>
  <c r="U38" i="69"/>
  <c r="V38" i="69"/>
  <c r="S39" i="69"/>
  <c r="T39" i="69"/>
  <c r="U39" i="69"/>
  <c r="V39" i="69"/>
  <c r="S40" i="69"/>
  <c r="T40" i="69"/>
  <c r="U40" i="69"/>
  <c r="V40" i="69"/>
  <c r="S41" i="69"/>
  <c r="T41" i="69"/>
  <c r="U41" i="69"/>
  <c r="V41" i="69"/>
  <c r="S42" i="69"/>
  <c r="T42" i="69"/>
  <c r="U42" i="69"/>
  <c r="V42" i="69"/>
  <c r="S43" i="69"/>
  <c r="T43" i="69"/>
  <c r="U43" i="69"/>
  <c r="V43" i="69"/>
  <c r="S45" i="69"/>
  <c r="T45" i="69"/>
  <c r="U45" i="69"/>
  <c r="V45" i="69"/>
  <c r="S46" i="69"/>
  <c r="T46" i="69"/>
  <c r="U46" i="69"/>
  <c r="V46" i="69"/>
  <c r="S47" i="69"/>
  <c r="T47" i="69"/>
  <c r="U47" i="69"/>
  <c r="V47" i="69"/>
  <c r="S48" i="69"/>
  <c r="T48" i="69"/>
  <c r="U48" i="69"/>
  <c r="V48" i="69"/>
  <c r="S49" i="69"/>
  <c r="T49" i="69"/>
  <c r="U49" i="69"/>
  <c r="V49" i="69"/>
  <c r="S50" i="69"/>
  <c r="T50" i="69"/>
  <c r="U50" i="69"/>
  <c r="V50" i="69"/>
  <c r="S51" i="69"/>
  <c r="T51" i="69"/>
  <c r="U51" i="69"/>
  <c r="V51" i="69"/>
  <c r="S52" i="69"/>
  <c r="T52" i="69"/>
  <c r="U52" i="69"/>
  <c r="V52" i="69"/>
  <c r="S53" i="69"/>
  <c r="T53" i="69"/>
  <c r="U53" i="69"/>
  <c r="V53" i="69"/>
  <c r="S54" i="69"/>
  <c r="T54" i="69"/>
  <c r="U54" i="69"/>
  <c r="V54" i="69"/>
  <c r="S55" i="69"/>
  <c r="T55" i="69"/>
  <c r="U55" i="69"/>
  <c r="V55" i="69"/>
  <c r="S56" i="69"/>
  <c r="T56" i="69"/>
  <c r="U56" i="69"/>
  <c r="V56" i="69"/>
  <c r="S57" i="69"/>
  <c r="T57" i="69"/>
  <c r="U57" i="69"/>
  <c r="V57" i="69"/>
  <c r="S58" i="69"/>
  <c r="T58" i="69"/>
  <c r="U58" i="69"/>
  <c r="V58" i="69"/>
  <c r="S59" i="69"/>
  <c r="T59" i="69"/>
  <c r="U59" i="69"/>
  <c r="V59" i="69"/>
  <c r="S60" i="69"/>
  <c r="T60" i="69"/>
  <c r="U60" i="69"/>
  <c r="V60" i="69"/>
  <c r="S61" i="69"/>
  <c r="T61" i="69"/>
  <c r="U61" i="69"/>
  <c r="V61" i="69"/>
  <c r="S62" i="69"/>
  <c r="T62" i="69"/>
  <c r="U62" i="69"/>
  <c r="V62" i="69"/>
  <c r="S63" i="69"/>
  <c r="T63" i="69"/>
  <c r="U63" i="69"/>
  <c r="V63" i="69"/>
  <c r="S64" i="69"/>
  <c r="T64" i="69"/>
  <c r="U64" i="69"/>
  <c r="V64" i="69"/>
  <c r="S65" i="69"/>
  <c r="T65" i="69"/>
  <c r="U65" i="69"/>
  <c r="V65" i="69"/>
  <c r="S66" i="69"/>
  <c r="T66" i="69"/>
  <c r="U66" i="69"/>
  <c r="V66" i="69"/>
  <c r="S67" i="69"/>
  <c r="T67" i="69"/>
  <c r="U67" i="69"/>
  <c r="V67" i="69"/>
  <c r="S68" i="69"/>
  <c r="T68" i="69"/>
  <c r="U68" i="69"/>
  <c r="V68" i="69"/>
  <c r="S69" i="69"/>
  <c r="T69" i="69"/>
  <c r="U69" i="69"/>
  <c r="V69" i="69"/>
  <c r="S70" i="69"/>
  <c r="T70" i="69"/>
  <c r="U70" i="69"/>
  <c r="V70" i="69"/>
  <c r="S71" i="69"/>
  <c r="T71" i="69"/>
  <c r="U71" i="69"/>
  <c r="V71" i="69"/>
  <c r="S72" i="69"/>
  <c r="T72" i="69"/>
  <c r="U72" i="69"/>
  <c r="V72" i="69"/>
  <c r="S74" i="69"/>
  <c r="T74" i="69"/>
  <c r="U74" i="69"/>
  <c r="V74" i="69"/>
  <c r="S75" i="69"/>
  <c r="T75" i="69"/>
  <c r="U75" i="69"/>
  <c r="V75" i="69"/>
  <c r="S76" i="69"/>
  <c r="T76" i="69"/>
  <c r="U76" i="69"/>
  <c r="V76" i="69"/>
  <c r="S77" i="69"/>
  <c r="T77" i="69"/>
  <c r="U77" i="69"/>
  <c r="V77" i="69"/>
  <c r="S78" i="69"/>
  <c r="T78" i="69"/>
  <c r="U78" i="69"/>
  <c r="V78" i="69"/>
  <c r="S83" i="69"/>
  <c r="T83" i="69"/>
  <c r="U83" i="69"/>
  <c r="V83" i="69"/>
  <c r="S84" i="69"/>
  <c r="T84" i="69"/>
  <c r="U84" i="69"/>
  <c r="V84" i="69"/>
  <c r="S85" i="69"/>
  <c r="T85" i="69"/>
  <c r="U85" i="69"/>
  <c r="V85" i="69"/>
  <c r="V4" i="69"/>
  <c r="U4" i="69"/>
  <c r="W4" i="69" s="1"/>
  <c r="K4" i="69" s="1"/>
  <c r="L4" i="69" s="1"/>
  <c r="T4" i="69"/>
  <c r="H1" i="69"/>
  <c r="W59" i="69"/>
  <c r="W45" i="69"/>
  <c r="W84" i="69"/>
  <c r="W76" i="69"/>
  <c r="W74" i="69"/>
  <c r="W72" i="69"/>
  <c r="W71" i="69"/>
  <c r="W70" i="69"/>
  <c r="W69" i="69"/>
  <c r="W68" i="69"/>
  <c r="W67" i="69"/>
  <c r="W66" i="69"/>
  <c r="W65" i="69"/>
  <c r="W64" i="69"/>
  <c r="W63" i="69"/>
  <c r="W62" i="69"/>
  <c r="W61" i="69"/>
  <c r="W60" i="69"/>
  <c r="W57" i="69"/>
  <c r="W56" i="69"/>
  <c r="W55" i="69"/>
  <c r="W54" i="69"/>
  <c r="W53" i="69"/>
  <c r="W52" i="69"/>
  <c r="W51" i="69"/>
  <c r="W50" i="69"/>
  <c r="W49" i="69"/>
  <c r="W48" i="69"/>
  <c r="W47" i="69"/>
  <c r="W46" i="69"/>
  <c r="W43" i="69"/>
  <c r="W42" i="69"/>
  <c r="W41" i="69"/>
  <c r="W40" i="69"/>
  <c r="W39" i="69"/>
  <c r="W38" i="69"/>
  <c r="W37" i="69"/>
  <c r="W36" i="69"/>
  <c r="W35" i="69"/>
  <c r="W34" i="69"/>
  <c r="W33" i="69"/>
  <c r="W32" i="69"/>
  <c r="W30" i="69"/>
  <c r="W29" i="69"/>
  <c r="W28" i="69"/>
  <c r="W27" i="69"/>
  <c r="W26" i="69"/>
  <c r="W25" i="69"/>
  <c r="W24" i="69"/>
  <c r="W23" i="69"/>
  <c r="W22" i="69"/>
  <c r="W21" i="69"/>
  <c r="W20" i="69"/>
  <c r="W19" i="69"/>
  <c r="W16" i="69"/>
  <c r="W14" i="69"/>
  <c r="W85" i="69"/>
  <c r="W83" i="69"/>
  <c r="W78" i="69"/>
  <c r="W77" i="69"/>
  <c r="W75" i="69"/>
  <c r="W58" i="69"/>
  <c r="K75" i="69"/>
  <c r="L75" i="69"/>
  <c r="K76" i="69"/>
  <c r="L76" i="69"/>
  <c r="K77" i="69"/>
  <c r="L77" i="69"/>
  <c r="K78" i="69"/>
  <c r="L78" i="69"/>
  <c r="K83" i="69"/>
  <c r="L83" i="69"/>
  <c r="K68" i="69"/>
  <c r="L68" i="69"/>
  <c r="K72" i="69"/>
  <c r="L72" i="69"/>
  <c r="K69" i="69"/>
  <c r="L69" i="69"/>
  <c r="K74" i="69"/>
  <c r="L74" i="69"/>
  <c r="K70" i="69"/>
  <c r="K71" i="69"/>
  <c r="L71" i="69"/>
  <c r="K60" i="69"/>
  <c r="L60" i="69"/>
  <c r="K64" i="69"/>
  <c r="L64" i="69"/>
  <c r="K61" i="69"/>
  <c r="L61" i="69"/>
  <c r="K66" i="69"/>
  <c r="L66" i="69"/>
  <c r="K58" i="69"/>
  <c r="K65" i="69"/>
  <c r="L65" i="69"/>
  <c r="K62" i="69"/>
  <c r="L62" i="69"/>
  <c r="K63" i="69"/>
  <c r="L63" i="69"/>
  <c r="K67" i="69"/>
  <c r="L67" i="69"/>
  <c r="K59" i="69"/>
  <c r="L59" i="69"/>
  <c r="K56" i="69"/>
  <c r="L56" i="69"/>
  <c r="K53" i="69"/>
  <c r="L53" i="69"/>
  <c r="K55" i="69"/>
  <c r="L55" i="69"/>
  <c r="K54" i="69"/>
  <c r="L54" i="69"/>
  <c r="K57" i="69"/>
  <c r="L57" i="69"/>
  <c r="K52" i="69"/>
  <c r="L52" i="69"/>
  <c r="K47" i="69"/>
  <c r="L47" i="69"/>
  <c r="K48" i="69"/>
  <c r="L48" i="69"/>
  <c r="K49" i="69"/>
  <c r="K51" i="69"/>
  <c r="L51" i="69"/>
  <c r="K50" i="69"/>
  <c r="L50" i="69"/>
  <c r="K45" i="69"/>
  <c r="L45" i="69"/>
  <c r="K43" i="69"/>
  <c r="L43" i="69"/>
  <c r="K42" i="69"/>
  <c r="K46" i="69"/>
  <c r="L46" i="69"/>
  <c r="K37" i="69"/>
  <c r="L37" i="69"/>
  <c r="K41" i="69"/>
  <c r="L41" i="69" s="1"/>
  <c r="X34" i="69" s="1"/>
  <c r="M34" i="69" s="1"/>
  <c r="N34" i="69" s="1"/>
  <c r="K34" i="69"/>
  <c r="K38" i="69"/>
  <c r="K35" i="69"/>
  <c r="L35" i="69"/>
  <c r="K39" i="69"/>
  <c r="L39" i="69"/>
  <c r="K36" i="69"/>
  <c r="L36" i="69"/>
  <c r="K40" i="69"/>
  <c r="L40" i="69"/>
  <c r="K30" i="69"/>
  <c r="L30" i="69"/>
  <c r="K32" i="69"/>
  <c r="L32" i="69"/>
  <c r="K27" i="69"/>
  <c r="L27" i="69"/>
  <c r="K28" i="69"/>
  <c r="L28" i="69"/>
  <c r="K29" i="69"/>
  <c r="L29" i="69"/>
  <c r="K33" i="69"/>
  <c r="K22" i="69"/>
  <c r="L22" i="69"/>
  <c r="K26" i="69"/>
  <c r="L26" i="69"/>
  <c r="K19" i="69"/>
  <c r="L19" i="69"/>
  <c r="K23" i="69"/>
  <c r="L23" i="69"/>
  <c r="K20" i="69"/>
  <c r="L20" i="69"/>
  <c r="K24" i="69"/>
  <c r="L24" i="69"/>
  <c r="K21" i="69"/>
  <c r="L21" i="69"/>
  <c r="K25" i="69"/>
  <c r="L25" i="69"/>
  <c r="K14" i="69"/>
  <c r="L14" i="69"/>
  <c r="K16" i="69"/>
  <c r="L16" i="69"/>
  <c r="K85" i="69"/>
  <c r="L85" i="69"/>
  <c r="K84" i="69"/>
  <c r="L84" i="69"/>
  <c r="X53" i="69"/>
  <c r="M53" i="69"/>
  <c r="N53" i="69"/>
  <c r="Q53" i="69"/>
  <c r="O53" i="69"/>
  <c r="X75" i="69"/>
  <c r="M75" i="69"/>
  <c r="N75" i="69"/>
  <c r="Q75" i="69"/>
  <c r="O75" i="69"/>
  <c r="X84" i="69"/>
  <c r="X19" i="69"/>
  <c r="M19" i="69"/>
  <c r="N19" i="69"/>
  <c r="Q19" i="69"/>
  <c r="O27" i="69"/>
  <c r="O19" i="69"/>
  <c r="V5" i="67"/>
  <c r="V6" i="67"/>
  <c r="V7" i="67"/>
  <c r="V8" i="67"/>
  <c r="V9" i="67"/>
  <c r="V10" i="67"/>
  <c r="V11" i="67"/>
  <c r="V12" i="67"/>
  <c r="V13" i="67"/>
  <c r="V14" i="67"/>
  <c r="V15" i="67"/>
  <c r="V16" i="67"/>
  <c r="V17" i="67"/>
  <c r="V18" i="67"/>
  <c r="V19" i="67"/>
  <c r="V20" i="67"/>
  <c r="V21" i="67"/>
  <c r="V23" i="67"/>
  <c r="V4" i="67"/>
  <c r="W4" i="67" s="1"/>
  <c r="K4" i="67" s="1"/>
  <c r="L4" i="67" s="1"/>
  <c r="U5" i="67"/>
  <c r="U6" i="67"/>
  <c r="U7" i="67"/>
  <c r="U8" i="67"/>
  <c r="U9" i="67"/>
  <c r="U10" i="67"/>
  <c r="U11" i="67"/>
  <c r="U12" i="67"/>
  <c r="U13" i="67"/>
  <c r="U14" i="67"/>
  <c r="U15" i="67"/>
  <c r="U16" i="67"/>
  <c r="U17" i="67"/>
  <c r="W17" i="67" s="1"/>
  <c r="K17" i="67" s="1"/>
  <c r="L17" i="67" s="1"/>
  <c r="U18" i="67"/>
  <c r="U19" i="67"/>
  <c r="U20" i="67"/>
  <c r="U21" i="67"/>
  <c r="U23" i="67"/>
  <c r="U4" i="67"/>
  <c r="T5" i="67"/>
  <c r="T6" i="67"/>
  <c r="T7" i="67"/>
  <c r="T8" i="67"/>
  <c r="T9" i="67"/>
  <c r="T10" i="67"/>
  <c r="T11" i="67"/>
  <c r="T12" i="67"/>
  <c r="T13" i="67"/>
  <c r="T14" i="67"/>
  <c r="T15" i="67"/>
  <c r="T16" i="67"/>
  <c r="T17" i="67"/>
  <c r="T18" i="67"/>
  <c r="T19" i="67"/>
  <c r="T20" i="67"/>
  <c r="T21" i="67"/>
  <c r="T23" i="67"/>
  <c r="T4" i="67"/>
  <c r="S5" i="67"/>
  <c r="S6" i="67"/>
  <c r="S7" i="67"/>
  <c r="W7" i="67" s="1"/>
  <c r="K7" i="67" s="1"/>
  <c r="L7" i="67" s="1"/>
  <c r="S8" i="67"/>
  <c r="S10" i="67"/>
  <c r="S11" i="67"/>
  <c r="S12" i="67"/>
  <c r="S13" i="67"/>
  <c r="S14" i="67"/>
  <c r="S15" i="67"/>
  <c r="S16" i="67"/>
  <c r="S17" i="67"/>
  <c r="S18" i="67"/>
  <c r="S19" i="67"/>
  <c r="W19" i="67" s="1"/>
  <c r="K19" i="67" s="1"/>
  <c r="L19" i="67" s="1"/>
  <c r="S20" i="67"/>
  <c r="S21" i="67"/>
  <c r="S23" i="67"/>
  <c r="S13" i="66"/>
  <c r="T13" i="66"/>
  <c r="U13" i="66"/>
  <c r="V13" i="66"/>
  <c r="S14" i="66"/>
  <c r="T14" i="66"/>
  <c r="U14" i="66"/>
  <c r="V14" i="66"/>
  <c r="S15" i="66"/>
  <c r="T15" i="66"/>
  <c r="U15" i="66"/>
  <c r="V15" i="66"/>
  <c r="S16" i="66"/>
  <c r="T16" i="66"/>
  <c r="U16" i="66"/>
  <c r="V16" i="66"/>
  <c r="S17" i="66"/>
  <c r="T17" i="66"/>
  <c r="U17" i="66"/>
  <c r="V17" i="66"/>
  <c r="S18" i="66"/>
  <c r="T18" i="66"/>
  <c r="U18" i="66"/>
  <c r="V18" i="66"/>
  <c r="V25" i="66"/>
  <c r="U25" i="66"/>
  <c r="T25" i="66"/>
  <c r="S25" i="66"/>
  <c r="V24" i="66"/>
  <c r="U24" i="66"/>
  <c r="T24" i="66"/>
  <c r="S24" i="66"/>
  <c r="V21" i="66"/>
  <c r="U21" i="66"/>
  <c r="T21" i="66"/>
  <c r="S21" i="66"/>
  <c r="V20" i="66"/>
  <c r="U20" i="66"/>
  <c r="T20" i="66"/>
  <c r="S20" i="66"/>
  <c r="V19" i="66"/>
  <c r="U19" i="66"/>
  <c r="T19" i="66"/>
  <c r="S19" i="66"/>
  <c r="V12" i="66"/>
  <c r="U12" i="66"/>
  <c r="T12" i="66"/>
  <c r="S12" i="66"/>
  <c r="V11" i="66"/>
  <c r="U11" i="66"/>
  <c r="T11" i="66"/>
  <c r="S11" i="66"/>
  <c r="V10" i="66"/>
  <c r="U10" i="66"/>
  <c r="T10" i="66"/>
  <c r="S10" i="66"/>
  <c r="V9" i="66"/>
  <c r="U9" i="66"/>
  <c r="T9" i="66"/>
  <c r="S9" i="66"/>
  <c r="V8" i="66"/>
  <c r="U8" i="66"/>
  <c r="T8" i="66"/>
  <c r="W8" i="66" s="1"/>
  <c r="K8" i="66" s="1"/>
  <c r="L8" i="66" s="1"/>
  <c r="S8" i="66"/>
  <c r="V7" i="66"/>
  <c r="U7" i="66"/>
  <c r="T7" i="66"/>
  <c r="S7" i="66"/>
  <c r="V6" i="66"/>
  <c r="U6" i="66"/>
  <c r="T6" i="66"/>
  <c r="S6" i="66"/>
  <c r="V5" i="66"/>
  <c r="U5" i="66"/>
  <c r="T5" i="66"/>
  <c r="S5" i="66"/>
  <c r="V4" i="66"/>
  <c r="U4" i="66"/>
  <c r="T4" i="66"/>
  <c r="S4" i="66"/>
  <c r="V17" i="65"/>
  <c r="U17" i="65"/>
  <c r="T17" i="65"/>
  <c r="S17" i="65"/>
  <c r="V16" i="65"/>
  <c r="U16" i="65"/>
  <c r="T16" i="65"/>
  <c r="S16" i="65"/>
  <c r="V15" i="65"/>
  <c r="U15" i="65"/>
  <c r="T15" i="65"/>
  <c r="S15" i="65"/>
  <c r="V14" i="65"/>
  <c r="U14" i="65"/>
  <c r="T14" i="65"/>
  <c r="S14" i="65"/>
  <c r="V13" i="65"/>
  <c r="U13" i="65"/>
  <c r="T13" i="65"/>
  <c r="S13" i="65"/>
  <c r="V12" i="65"/>
  <c r="U12" i="65"/>
  <c r="T12" i="65"/>
  <c r="S12" i="65"/>
  <c r="V11" i="65"/>
  <c r="U11" i="65"/>
  <c r="T11" i="65"/>
  <c r="S11" i="65"/>
  <c r="V10" i="65"/>
  <c r="U10" i="65"/>
  <c r="T10" i="65"/>
  <c r="S10" i="65"/>
  <c r="V9" i="65"/>
  <c r="U9" i="65"/>
  <c r="T9" i="65"/>
  <c r="S9" i="65"/>
  <c r="V8" i="65"/>
  <c r="U8" i="65"/>
  <c r="T8" i="65"/>
  <c r="S8" i="65"/>
  <c r="V7" i="65"/>
  <c r="U7" i="65"/>
  <c r="T7" i="65"/>
  <c r="S7" i="65"/>
  <c r="V6" i="65"/>
  <c r="U6" i="65"/>
  <c r="W6" i="65" s="1"/>
  <c r="K6" i="65" s="1"/>
  <c r="L6" i="65" s="1"/>
  <c r="T6" i="65"/>
  <c r="S6" i="65"/>
  <c r="V5" i="65"/>
  <c r="U5" i="65"/>
  <c r="T5" i="65"/>
  <c r="S5" i="65"/>
  <c r="V4" i="65"/>
  <c r="U4" i="65"/>
  <c r="T4" i="65"/>
  <c r="S4" i="65"/>
  <c r="V5" i="64"/>
  <c r="V6" i="64"/>
  <c r="V7" i="64"/>
  <c r="V8" i="64"/>
  <c r="U5" i="64"/>
  <c r="U6" i="64"/>
  <c r="W6" i="64" s="1"/>
  <c r="K6" i="64" s="1"/>
  <c r="L6" i="64" s="1"/>
  <c r="U7" i="64"/>
  <c r="U8" i="64"/>
  <c r="T5" i="64"/>
  <c r="T6" i="64"/>
  <c r="T7" i="64"/>
  <c r="T8" i="64"/>
  <c r="S5" i="64"/>
  <c r="S6" i="64"/>
  <c r="S7" i="64"/>
  <c r="S8" i="64"/>
  <c r="W8" i="64" s="1"/>
  <c r="K8" i="64" s="1"/>
  <c r="L8" i="64" s="1"/>
  <c r="V20" i="64"/>
  <c r="U20" i="64"/>
  <c r="T20" i="64"/>
  <c r="S20" i="64"/>
  <c r="V19" i="64"/>
  <c r="U19" i="64"/>
  <c r="T19" i="64"/>
  <c r="S19" i="64"/>
  <c r="V18" i="64"/>
  <c r="U18" i="64"/>
  <c r="T18" i="64"/>
  <c r="W18" i="64" s="1"/>
  <c r="K18" i="64" s="1"/>
  <c r="L18" i="64" s="1"/>
  <c r="S18" i="64"/>
  <c r="V17" i="64"/>
  <c r="U17" i="64"/>
  <c r="T17" i="64"/>
  <c r="S17" i="64"/>
  <c r="V16" i="64"/>
  <c r="U16" i="64"/>
  <c r="T16" i="64"/>
  <c r="S16" i="64"/>
  <c r="V15" i="64"/>
  <c r="U15" i="64"/>
  <c r="T15" i="64"/>
  <c r="S15" i="64"/>
  <c r="V14" i="64"/>
  <c r="U14" i="64"/>
  <c r="T14" i="64"/>
  <c r="S14" i="64"/>
  <c r="W14" i="64" s="1"/>
  <c r="K14" i="64" s="1"/>
  <c r="L14" i="64" s="1"/>
  <c r="V13" i="64"/>
  <c r="U13" i="64"/>
  <c r="T13" i="64"/>
  <c r="S13" i="64"/>
  <c r="V12" i="64"/>
  <c r="U12" i="64"/>
  <c r="T12" i="64"/>
  <c r="S12" i="64"/>
  <c r="V11" i="64"/>
  <c r="U11" i="64"/>
  <c r="T11" i="64"/>
  <c r="S11" i="64"/>
  <c r="V10" i="64"/>
  <c r="U10" i="64"/>
  <c r="T10" i="64"/>
  <c r="S10" i="64"/>
  <c r="V9" i="64"/>
  <c r="U9" i="64"/>
  <c r="T9" i="64"/>
  <c r="S9" i="64"/>
  <c r="W9" i="64" s="1"/>
  <c r="K9" i="64" s="1"/>
  <c r="L9" i="64" s="1"/>
  <c r="V4" i="64"/>
  <c r="U4" i="64"/>
  <c r="T4" i="64"/>
  <c r="S4" i="64"/>
  <c r="W18" i="66"/>
  <c r="W16" i="66"/>
  <c r="W14" i="66"/>
  <c r="W7" i="66"/>
  <c r="W10" i="66"/>
  <c r="W12" i="66"/>
  <c r="W24" i="66"/>
  <c r="W25" i="66"/>
  <c r="W19" i="66"/>
  <c r="W20" i="66"/>
  <c r="W7" i="64"/>
  <c r="K7" i="64" s="1"/>
  <c r="L7" i="64" s="1"/>
  <c r="K14" i="66"/>
  <c r="K19" i="66"/>
  <c r="L19" i="66"/>
  <c r="K12" i="66"/>
  <c r="K18" i="66"/>
  <c r="L18" i="66"/>
  <c r="K20" i="66"/>
  <c r="L20" i="66"/>
  <c r="K25" i="66"/>
  <c r="L25" i="66"/>
  <c r="K10" i="66"/>
  <c r="L10" i="66"/>
  <c r="K24" i="66"/>
  <c r="L24" i="66"/>
  <c r="K7" i="66"/>
  <c r="L7" i="66"/>
  <c r="K16" i="66"/>
  <c r="L16" i="66"/>
  <c r="S18" i="3"/>
  <c r="E7" i="23"/>
  <c r="E8" i="23"/>
  <c r="L38" i="70"/>
  <c r="L10" i="74"/>
  <c r="L24" i="71"/>
  <c r="L13" i="70"/>
  <c r="L42" i="69"/>
  <c r="X42" i="69"/>
  <c r="L38" i="69"/>
  <c r="L34" i="69"/>
  <c r="L58" i="69"/>
  <c r="X58" i="69"/>
  <c r="M58" i="69"/>
  <c r="N58" i="69"/>
  <c r="Q58" i="69"/>
  <c r="O58" i="69"/>
  <c r="L49" i="69"/>
  <c r="X47" i="69"/>
  <c r="M47" i="69"/>
  <c r="N47" i="69"/>
  <c r="Q47" i="69"/>
  <c r="O47" i="69"/>
  <c r="L70" i="69"/>
  <c r="M84" i="69"/>
  <c r="N84" i="69"/>
  <c r="Q84" i="69"/>
  <c r="O84" i="69"/>
  <c r="L12" i="66"/>
  <c r="L14" i="66"/>
  <c r="L14" i="80"/>
  <c r="L18" i="74"/>
  <c r="L10" i="70"/>
  <c r="L33" i="69"/>
  <c r="X27" i="69"/>
  <c r="M27" i="69"/>
  <c r="V21" i="58"/>
  <c r="V22" i="58"/>
  <c r="V23" i="58"/>
  <c r="V24" i="58"/>
  <c r="V25" i="58"/>
  <c r="U21" i="58"/>
  <c r="U22" i="58"/>
  <c r="U23" i="58"/>
  <c r="U24" i="58"/>
  <c r="U25" i="58"/>
  <c r="T21" i="58"/>
  <c r="T22" i="58"/>
  <c r="T23" i="58"/>
  <c r="T24" i="58"/>
  <c r="T25" i="58"/>
  <c r="S21" i="58"/>
  <c r="S22" i="58"/>
  <c r="S23" i="58"/>
  <c r="S24" i="58"/>
  <c r="S25" i="58"/>
  <c r="V20" i="58"/>
  <c r="U20" i="58"/>
  <c r="T20" i="58"/>
  <c r="S20" i="58"/>
  <c r="V19" i="58"/>
  <c r="U19" i="58"/>
  <c r="T19" i="58"/>
  <c r="S19" i="58"/>
  <c r="V18" i="58"/>
  <c r="U18" i="58"/>
  <c r="T18" i="58"/>
  <c r="S18" i="58"/>
  <c r="V17" i="58"/>
  <c r="U17" i="58"/>
  <c r="T17" i="58"/>
  <c r="S17" i="58"/>
  <c r="V16" i="58"/>
  <c r="U16" i="58"/>
  <c r="T16" i="58"/>
  <c r="S16" i="58"/>
  <c r="V15" i="58"/>
  <c r="U15" i="58"/>
  <c r="T15" i="58"/>
  <c r="S15" i="58"/>
  <c r="V14" i="58"/>
  <c r="U14" i="58"/>
  <c r="T14" i="58"/>
  <c r="S14" i="58"/>
  <c r="V13" i="58"/>
  <c r="U13" i="58"/>
  <c r="T13" i="58"/>
  <c r="S13" i="58"/>
  <c r="V12" i="58"/>
  <c r="U12" i="58"/>
  <c r="T12" i="58"/>
  <c r="S12" i="58"/>
  <c r="V10" i="58"/>
  <c r="W10" i="58" s="1"/>
  <c r="K10" i="58" s="1"/>
  <c r="L10" i="58" s="1"/>
  <c r="U10" i="58"/>
  <c r="T10" i="58"/>
  <c r="S10" i="58"/>
  <c r="V9" i="58"/>
  <c r="U9" i="58"/>
  <c r="T9" i="58"/>
  <c r="S9" i="58"/>
  <c r="V8" i="58"/>
  <c r="U8" i="58"/>
  <c r="T8" i="58"/>
  <c r="S8" i="58"/>
  <c r="V7" i="58"/>
  <c r="U7" i="58"/>
  <c r="T7" i="58"/>
  <c r="S7" i="58"/>
  <c r="V6" i="58"/>
  <c r="U6" i="58"/>
  <c r="T6" i="58"/>
  <c r="S6" i="58"/>
  <c r="V5" i="58"/>
  <c r="U5" i="58"/>
  <c r="T5" i="58"/>
  <c r="S5" i="58"/>
  <c r="V4" i="58"/>
  <c r="U4" i="58"/>
  <c r="T4" i="58"/>
  <c r="S4" i="58"/>
  <c r="X68" i="69"/>
  <c r="M68" i="69"/>
  <c r="N68" i="69"/>
  <c r="Q68" i="69"/>
  <c r="O68" i="69"/>
  <c r="N27" i="69"/>
  <c r="Q27" i="69"/>
  <c r="M42" i="69"/>
  <c r="N42" i="69"/>
  <c r="Q42" i="69"/>
  <c r="O42" i="69"/>
  <c r="V26" i="46"/>
  <c r="U26" i="46"/>
  <c r="T26" i="46"/>
  <c r="S26" i="46"/>
  <c r="V23" i="46"/>
  <c r="W23" i="46" s="1"/>
  <c r="K23" i="46" s="1"/>
  <c r="L23" i="46" s="1"/>
  <c r="U23" i="46"/>
  <c r="T23" i="46"/>
  <c r="S23" i="46"/>
  <c r="V22" i="46"/>
  <c r="U22" i="46"/>
  <c r="T22" i="46"/>
  <c r="S22" i="46"/>
  <c r="V21" i="46"/>
  <c r="U21" i="46"/>
  <c r="T21" i="46"/>
  <c r="S21" i="46"/>
  <c r="V19" i="46"/>
  <c r="U19" i="46"/>
  <c r="T19" i="46"/>
  <c r="S19" i="46"/>
  <c r="V18" i="46"/>
  <c r="U18" i="46"/>
  <c r="W18" i="46" s="1"/>
  <c r="K18" i="46" s="1"/>
  <c r="L18" i="46" s="1"/>
  <c r="T18" i="46"/>
  <c r="S18" i="46"/>
  <c r="V17" i="46"/>
  <c r="U17" i="46"/>
  <c r="T17" i="46"/>
  <c r="S17" i="46"/>
  <c r="V16" i="46"/>
  <c r="U16" i="46"/>
  <c r="T16" i="46"/>
  <c r="S16" i="46"/>
  <c r="V15" i="46"/>
  <c r="U15" i="46"/>
  <c r="T15" i="46"/>
  <c r="S15" i="46"/>
  <c r="V14" i="46"/>
  <c r="U14" i="46"/>
  <c r="T14" i="46"/>
  <c r="S14" i="46"/>
  <c r="V13" i="46"/>
  <c r="U13" i="46"/>
  <c r="W13" i="46" s="1"/>
  <c r="K13" i="46" s="1"/>
  <c r="L13" i="46" s="1"/>
  <c r="T13" i="46"/>
  <c r="S13" i="46"/>
  <c r="V12" i="46"/>
  <c r="U12" i="46"/>
  <c r="T12" i="46"/>
  <c r="S12" i="46"/>
  <c r="V11" i="46"/>
  <c r="U11" i="46"/>
  <c r="T11" i="46"/>
  <c r="S11" i="46"/>
  <c r="V10" i="46"/>
  <c r="U10" i="46"/>
  <c r="T10" i="46"/>
  <c r="S10" i="46"/>
  <c r="V9" i="46"/>
  <c r="U9" i="46"/>
  <c r="W9" i="46" s="1"/>
  <c r="K9" i="46" s="1"/>
  <c r="L9" i="46" s="1"/>
  <c r="T9" i="46"/>
  <c r="S9" i="46"/>
  <c r="V8" i="46"/>
  <c r="U8" i="46"/>
  <c r="T8" i="46"/>
  <c r="S8" i="46"/>
  <c r="V7" i="46"/>
  <c r="U7" i="46"/>
  <c r="W7" i="46" s="1"/>
  <c r="K7" i="46" s="1"/>
  <c r="L7" i="46" s="1"/>
  <c r="T7" i="46"/>
  <c r="S7" i="46"/>
  <c r="V6" i="46"/>
  <c r="U6" i="46"/>
  <c r="T6" i="46"/>
  <c r="S6" i="46"/>
  <c r="V5" i="46"/>
  <c r="U5" i="46"/>
  <c r="T5" i="46"/>
  <c r="S5" i="46"/>
  <c r="V4" i="46"/>
  <c r="U4" i="46"/>
  <c r="T4" i="46"/>
  <c r="S4" i="46"/>
  <c r="V5" i="3"/>
  <c r="V6" i="3"/>
  <c r="V8" i="3"/>
  <c r="V9" i="3"/>
  <c r="V10" i="3"/>
  <c r="V11" i="3"/>
  <c r="V12" i="3"/>
  <c r="V13" i="3"/>
  <c r="V14" i="3"/>
  <c r="V15" i="3"/>
  <c r="V17" i="3"/>
  <c r="V18" i="3"/>
  <c r="V19" i="3"/>
  <c r="V20" i="3"/>
  <c r="V21" i="3"/>
  <c r="V22" i="3"/>
  <c r="V23" i="3"/>
  <c r="V24" i="3"/>
  <c r="V26" i="3"/>
  <c r="V27" i="3"/>
  <c r="V28" i="3"/>
  <c r="V29" i="3"/>
  <c r="V30" i="3"/>
  <c r="V31" i="3"/>
  <c r="V32" i="3"/>
  <c r="V35" i="3"/>
  <c r="U5" i="3"/>
  <c r="U6" i="3"/>
  <c r="U8" i="3"/>
  <c r="U9" i="3"/>
  <c r="U10" i="3"/>
  <c r="U11" i="3"/>
  <c r="U12" i="3"/>
  <c r="U13" i="3"/>
  <c r="U14" i="3"/>
  <c r="U15" i="3"/>
  <c r="U17" i="3"/>
  <c r="U18" i="3"/>
  <c r="U19" i="3"/>
  <c r="U20" i="3"/>
  <c r="U21" i="3"/>
  <c r="U22" i="3"/>
  <c r="U23" i="3"/>
  <c r="U24" i="3"/>
  <c r="U26" i="3"/>
  <c r="U27" i="3"/>
  <c r="U28" i="3"/>
  <c r="U29" i="3"/>
  <c r="U30" i="3"/>
  <c r="U31" i="3"/>
  <c r="U32" i="3"/>
  <c r="U35" i="3"/>
  <c r="T5" i="3"/>
  <c r="T6" i="3"/>
  <c r="T8" i="3"/>
  <c r="T9" i="3"/>
  <c r="T10" i="3"/>
  <c r="T11" i="3"/>
  <c r="T12" i="3"/>
  <c r="T13" i="3"/>
  <c r="T14" i="3"/>
  <c r="T15" i="3"/>
  <c r="T17" i="3"/>
  <c r="T18" i="3"/>
  <c r="T19" i="3"/>
  <c r="T20" i="3"/>
  <c r="T21" i="3"/>
  <c r="T22" i="3"/>
  <c r="T23" i="3"/>
  <c r="T24" i="3"/>
  <c r="T26" i="3"/>
  <c r="T27" i="3"/>
  <c r="T28" i="3"/>
  <c r="T29" i="3"/>
  <c r="T30" i="3"/>
  <c r="T31" i="3"/>
  <c r="T32" i="3"/>
  <c r="T35" i="3"/>
  <c r="S5" i="3"/>
  <c r="S6" i="3"/>
  <c r="S8" i="3"/>
  <c r="S9" i="3"/>
  <c r="S10" i="3"/>
  <c r="S11" i="3"/>
  <c r="S12" i="3"/>
  <c r="S13" i="3"/>
  <c r="S14" i="3"/>
  <c r="S15" i="3"/>
  <c r="S17" i="3"/>
  <c r="S19" i="3"/>
  <c r="S20" i="3"/>
  <c r="S21" i="3"/>
  <c r="S22" i="3"/>
  <c r="S23" i="3"/>
  <c r="S24" i="3"/>
  <c r="S26" i="3"/>
  <c r="S27" i="3"/>
  <c r="S28" i="3"/>
  <c r="S29" i="3"/>
  <c r="S30" i="3"/>
  <c r="S31" i="3"/>
  <c r="S32" i="3"/>
  <c r="S35" i="3"/>
  <c r="V4" i="3"/>
  <c r="U4" i="3"/>
  <c r="T4" i="3"/>
  <c r="S4" i="3"/>
  <c r="W9" i="65" l="1"/>
  <c r="K9" i="65" s="1"/>
  <c r="L9" i="65" s="1"/>
  <c r="W33" i="70"/>
  <c r="K33" i="70" s="1"/>
  <c r="L33" i="70" s="1"/>
  <c r="W32" i="70"/>
  <c r="K32" i="70" s="1"/>
  <c r="L32" i="70" s="1"/>
  <c r="W35" i="70"/>
  <c r="K35" i="70" s="1"/>
  <c r="L35" i="70" s="1"/>
  <c r="W34" i="70"/>
  <c r="K34" i="70" s="1"/>
  <c r="L34" i="70" s="1"/>
  <c r="W31" i="70"/>
  <c r="K31" i="70" s="1"/>
  <c r="L31" i="70" s="1"/>
  <c r="W7" i="70"/>
  <c r="K7" i="70" s="1"/>
  <c r="L7" i="70" s="1"/>
  <c r="W25" i="77"/>
  <c r="K25" i="77" s="1"/>
  <c r="L25" i="77" s="1"/>
  <c r="W35" i="77"/>
  <c r="K35" i="77" s="1"/>
  <c r="L35" i="77" s="1"/>
  <c r="W68" i="77"/>
  <c r="K68" i="77" s="1"/>
  <c r="L68" i="77" s="1"/>
  <c r="W67" i="77"/>
  <c r="K67" i="77" s="1"/>
  <c r="L67" i="77" s="1"/>
  <c r="W80" i="77"/>
  <c r="K80" i="77" s="1"/>
  <c r="L80" i="77" s="1"/>
  <c r="W52" i="77"/>
  <c r="K52" i="77" s="1"/>
  <c r="L52" i="77" s="1"/>
  <c r="W49" i="77"/>
  <c r="K49" i="77" s="1"/>
  <c r="L49" i="77" s="1"/>
  <c r="W43" i="77"/>
  <c r="K43" i="77" s="1"/>
  <c r="L43" i="77" s="1"/>
  <c r="W40" i="77"/>
  <c r="K40" i="77" s="1"/>
  <c r="L40" i="77" s="1"/>
  <c r="W41" i="77"/>
  <c r="K41" i="77" s="1"/>
  <c r="L41" i="77" s="1"/>
  <c r="W22" i="77"/>
  <c r="K22" i="77" s="1"/>
  <c r="L22" i="77" s="1"/>
  <c r="W64" i="77"/>
  <c r="K64" i="77" s="1"/>
  <c r="L64" i="77" s="1"/>
  <c r="W29" i="77"/>
  <c r="K29" i="77" s="1"/>
  <c r="L29" i="77" s="1"/>
  <c r="W11" i="77"/>
  <c r="K11" i="77" s="1"/>
  <c r="L11" i="77" s="1"/>
  <c r="W5" i="77"/>
  <c r="K5" i="77" s="1"/>
  <c r="L5" i="77" s="1"/>
  <c r="W8" i="77"/>
  <c r="K8" i="77" s="1"/>
  <c r="L8" i="77" s="1"/>
  <c r="W36" i="77"/>
  <c r="K36" i="77" s="1"/>
  <c r="L36" i="77" s="1"/>
  <c r="W4" i="77"/>
  <c r="K4" i="77" s="1"/>
  <c r="L4" i="77" s="1"/>
  <c r="W5" i="3"/>
  <c r="K5" i="3" s="1"/>
  <c r="L5" i="3" s="1"/>
  <c r="W7" i="3"/>
  <c r="K7" i="3" s="1"/>
  <c r="L7" i="3" s="1"/>
  <c r="W95" i="77"/>
  <c r="K95" i="77" s="1"/>
  <c r="L95" i="77" s="1"/>
  <c r="W90" i="77"/>
  <c r="K90" i="77" s="1"/>
  <c r="L90" i="77" s="1"/>
  <c r="W77" i="77"/>
  <c r="K77" i="77" s="1"/>
  <c r="L77" i="77" s="1"/>
  <c r="W10" i="77"/>
  <c r="K10" i="77" s="1"/>
  <c r="L10" i="77" s="1"/>
  <c r="W66" i="77"/>
  <c r="K66" i="77" s="1"/>
  <c r="L66" i="77" s="1"/>
  <c r="W54" i="77"/>
  <c r="K54" i="77" s="1"/>
  <c r="L54" i="77" s="1"/>
  <c r="W27" i="77"/>
  <c r="K27" i="77" s="1"/>
  <c r="L27" i="77" s="1"/>
  <c r="W23" i="77"/>
  <c r="K23" i="77" s="1"/>
  <c r="L23" i="77" s="1"/>
  <c r="W11" i="69"/>
  <c r="K11" i="69" s="1"/>
  <c r="L11" i="69" s="1"/>
  <c r="W12" i="69"/>
  <c r="K12" i="69" s="1"/>
  <c r="L12" i="69" s="1"/>
  <c r="W13" i="69"/>
  <c r="K13" i="69" s="1"/>
  <c r="L13" i="69" s="1"/>
  <c r="W10" i="69"/>
  <c r="K10" i="69" s="1"/>
  <c r="L10" i="69" s="1"/>
  <c r="W25" i="73"/>
  <c r="K25" i="73" s="1"/>
  <c r="L25" i="73" s="1"/>
  <c r="W22" i="73"/>
  <c r="K22" i="73" s="1"/>
  <c r="L22" i="73" s="1"/>
  <c r="W44" i="71"/>
  <c r="K44" i="71" s="1"/>
  <c r="L44" i="71" s="1"/>
  <c r="W40" i="71"/>
  <c r="K40" i="71" s="1"/>
  <c r="L40" i="71" s="1"/>
  <c r="W11" i="71"/>
  <c r="K11" i="71" s="1"/>
  <c r="L11" i="71" s="1"/>
  <c r="W41" i="71"/>
  <c r="K41" i="71" s="1"/>
  <c r="L41" i="71" s="1"/>
  <c r="W43" i="71"/>
  <c r="K43" i="71" s="1"/>
  <c r="L43" i="71" s="1"/>
  <c r="W15" i="66"/>
  <c r="K15" i="66" s="1"/>
  <c r="L15" i="66" s="1"/>
  <c r="W21" i="66"/>
  <c r="K21" i="66" s="1"/>
  <c r="L21" i="66" s="1"/>
  <c r="X21" i="66" s="1"/>
  <c r="M21" i="66" s="1"/>
  <c r="N21" i="66" s="1"/>
  <c r="Q21" i="66" s="1"/>
  <c r="W17" i="66"/>
  <c r="K17" i="66" s="1"/>
  <c r="L17" i="66" s="1"/>
  <c r="W13" i="66"/>
  <c r="K13" i="66" s="1"/>
  <c r="L13" i="66" s="1"/>
  <c r="W11" i="66"/>
  <c r="K11" i="66" s="1"/>
  <c r="L11" i="66" s="1"/>
  <c r="W9" i="66"/>
  <c r="K9" i="66" s="1"/>
  <c r="L9" i="66" s="1"/>
  <c r="W27" i="72"/>
  <c r="K27" i="72" s="1"/>
  <c r="L27" i="72" s="1"/>
  <c r="X26" i="72" s="1"/>
  <c r="M26" i="72" s="1"/>
  <c r="N26" i="72" s="1"/>
  <c r="Q26" i="72" s="1"/>
  <c r="O26" i="72" s="1"/>
  <c r="W16" i="72"/>
  <c r="K16" i="72" s="1"/>
  <c r="L16" i="72" s="1"/>
  <c r="W12" i="72"/>
  <c r="K12" i="72" s="1"/>
  <c r="L12" i="72" s="1"/>
  <c r="W30" i="73"/>
  <c r="K30" i="73" s="1"/>
  <c r="L30" i="73" s="1"/>
  <c r="W9" i="73"/>
  <c r="K9" i="73" s="1"/>
  <c r="L9" i="73" s="1"/>
  <c r="W17" i="65"/>
  <c r="K17" i="65" s="1"/>
  <c r="L17" i="65" s="1"/>
  <c r="X42" i="70"/>
  <c r="M42" i="70" s="1"/>
  <c r="N42" i="70" s="1"/>
  <c r="Q42" i="70" s="1"/>
  <c r="X36" i="70"/>
  <c r="M36" i="70" s="1"/>
  <c r="N36" i="70" s="1"/>
  <c r="Q36" i="70" s="1"/>
  <c r="O36" i="70" s="1"/>
  <c r="W26" i="70"/>
  <c r="K26" i="70" s="1"/>
  <c r="L26" i="70" s="1"/>
  <c r="X25" i="70" s="1"/>
  <c r="M25" i="70" s="1"/>
  <c r="N25" i="70" s="1"/>
  <c r="Q25" i="70" s="1"/>
  <c r="O25" i="70" s="1"/>
  <c r="W5" i="70"/>
  <c r="K5" i="70" s="1"/>
  <c r="L5" i="70" s="1"/>
  <c r="W19" i="46"/>
  <c r="K19" i="46" s="1"/>
  <c r="L19" i="46" s="1"/>
  <c r="W16" i="3"/>
  <c r="K16" i="3" s="1"/>
  <c r="L16" i="3" s="1"/>
  <c r="W4" i="3"/>
  <c r="K4" i="3" s="1"/>
  <c r="L4" i="3" s="1"/>
  <c r="W19" i="64"/>
  <c r="K19" i="64" s="1"/>
  <c r="L19" i="64" s="1"/>
  <c r="W17" i="64"/>
  <c r="K17" i="64" s="1"/>
  <c r="L17" i="64" s="1"/>
  <c r="W16" i="64"/>
  <c r="K16" i="64" s="1"/>
  <c r="L16" i="64" s="1"/>
  <c r="W15" i="64"/>
  <c r="K15" i="64" s="1"/>
  <c r="L15" i="64" s="1"/>
  <c r="W11" i="64"/>
  <c r="K11" i="64" s="1"/>
  <c r="L11" i="64" s="1"/>
  <c r="W10" i="64"/>
  <c r="K10" i="64" s="1"/>
  <c r="L10" i="64" s="1"/>
  <c r="W5" i="64"/>
  <c r="K5" i="64" s="1"/>
  <c r="L5" i="64" s="1"/>
  <c r="W4" i="65"/>
  <c r="K4" i="65" s="1"/>
  <c r="L4" i="65" s="1"/>
  <c r="W5" i="74"/>
  <c r="K5" i="74" s="1"/>
  <c r="L5" i="74" s="1"/>
  <c r="X4" i="74" s="1"/>
  <c r="M4" i="74" s="1"/>
  <c r="N4" i="74" s="1"/>
  <c r="W13" i="74"/>
  <c r="K13" i="74" s="1"/>
  <c r="L13" i="74" s="1"/>
  <c r="X10" i="74" s="1"/>
  <c r="M10" i="74" s="1"/>
  <c r="N10" i="74" s="1"/>
  <c r="Q10" i="74" s="1"/>
  <c r="O10" i="74" s="1"/>
  <c r="Q15" i="74"/>
  <c r="O15" i="74" s="1"/>
  <c r="X7" i="74"/>
  <c r="M7" i="74" s="1"/>
  <c r="N7" i="74" s="1"/>
  <c r="Q7" i="74" s="1"/>
  <c r="O7" i="74" s="1"/>
  <c r="W21" i="73"/>
  <c r="K21" i="73" s="1"/>
  <c r="L21" i="73" s="1"/>
  <c r="W17" i="73"/>
  <c r="K17" i="73" s="1"/>
  <c r="L17" i="73" s="1"/>
  <c r="W6" i="66"/>
  <c r="K6" i="66" s="1"/>
  <c r="L6" i="66" s="1"/>
  <c r="W5" i="66"/>
  <c r="K5" i="66" s="1"/>
  <c r="L5" i="66" s="1"/>
  <c r="W4" i="66"/>
  <c r="K4" i="66" s="1"/>
  <c r="L4" i="66" s="1"/>
  <c r="W8" i="65"/>
  <c r="K8" i="65" s="1"/>
  <c r="L8" i="65" s="1"/>
  <c r="W21" i="70"/>
  <c r="K21" i="70" s="1"/>
  <c r="L21" i="70" s="1"/>
  <c r="X21" i="70" s="1"/>
  <c r="M21" i="70" s="1"/>
  <c r="N21" i="70" s="1"/>
  <c r="W14" i="70"/>
  <c r="K14" i="70" s="1"/>
  <c r="L14" i="70" s="1"/>
  <c r="W9" i="70"/>
  <c r="K9" i="70" s="1"/>
  <c r="L9" i="70" s="1"/>
  <c r="Q20" i="70"/>
  <c r="O20" i="70" s="1"/>
  <c r="X4" i="70"/>
  <c r="M4" i="70" s="1"/>
  <c r="N4" i="70" s="1"/>
  <c r="Q4" i="70" s="1"/>
  <c r="O4" i="70" s="1"/>
  <c r="W9" i="69"/>
  <c r="K9" i="69" s="1"/>
  <c r="L9" i="69" s="1"/>
  <c r="W6" i="69"/>
  <c r="K6" i="69" s="1"/>
  <c r="L6" i="69" s="1"/>
  <c r="X4" i="69" s="1"/>
  <c r="M4" i="69" s="1"/>
  <c r="N4" i="69" s="1"/>
  <c r="Q4" i="69" s="1"/>
  <c r="O4" i="69" s="1"/>
  <c r="X86" i="69"/>
  <c r="M86" i="69" s="1"/>
  <c r="N86" i="69" s="1"/>
  <c r="Q34" i="69"/>
  <c r="O34" i="69" s="1"/>
  <c r="W13" i="80"/>
  <c r="K13" i="80" s="1"/>
  <c r="L13" i="80" s="1"/>
  <c r="W12" i="80"/>
  <c r="K12" i="80" s="1"/>
  <c r="L12" i="80" s="1"/>
  <c r="W5" i="80"/>
  <c r="K5" i="80" s="1"/>
  <c r="L5" i="80" s="1"/>
  <c r="X4" i="80" s="1"/>
  <c r="M4" i="80" s="1"/>
  <c r="N4" i="80" s="1"/>
  <c r="W4" i="80"/>
  <c r="K4" i="80" s="1"/>
  <c r="L4" i="80" s="1"/>
  <c r="W22" i="80"/>
  <c r="K22" i="80" s="1"/>
  <c r="L22" i="80" s="1"/>
  <c r="W10" i="80"/>
  <c r="K10" i="80" s="1"/>
  <c r="L10" i="80" s="1"/>
  <c r="W24" i="80"/>
  <c r="K24" i="80" s="1"/>
  <c r="L24" i="80" s="1"/>
  <c r="X17" i="80" s="1"/>
  <c r="M17" i="80" s="1"/>
  <c r="N17" i="80" s="1"/>
  <c r="Q17" i="80" s="1"/>
  <c r="O17" i="80" s="1"/>
  <c r="W7" i="80"/>
  <c r="K7" i="80" s="1"/>
  <c r="L7" i="80" s="1"/>
  <c r="X7" i="80" s="1"/>
  <c r="M7" i="80" s="1"/>
  <c r="N7" i="80" s="1"/>
  <c r="Q7" i="80" s="1"/>
  <c r="O7" i="80" s="1"/>
  <c r="W5" i="46"/>
  <c r="K5" i="46" s="1"/>
  <c r="L5" i="46" s="1"/>
  <c r="W33" i="3"/>
  <c r="K33" i="3" s="1"/>
  <c r="L33" i="3" s="1"/>
  <c r="Q86" i="69"/>
  <c r="O86" i="69" s="1"/>
  <c r="W35" i="71"/>
  <c r="K35" i="71" s="1"/>
  <c r="L35" i="71" s="1"/>
  <c r="W7" i="71"/>
  <c r="K7" i="71" s="1"/>
  <c r="L7" i="71" s="1"/>
  <c r="W29" i="72"/>
  <c r="K29" i="72" s="1"/>
  <c r="L29" i="72" s="1"/>
  <c r="X29" i="72" s="1"/>
  <c r="M29" i="72" s="1"/>
  <c r="N29" i="72" s="1"/>
  <c r="W15" i="72"/>
  <c r="K15" i="72" s="1"/>
  <c r="L15" i="72" s="1"/>
  <c r="W14" i="72"/>
  <c r="K14" i="72" s="1"/>
  <c r="L14" i="72" s="1"/>
  <c r="X4" i="72"/>
  <c r="M4" i="72" s="1"/>
  <c r="N4" i="72" s="1"/>
  <c r="Q4" i="72" s="1"/>
  <c r="O4" i="72" s="1"/>
  <c r="Q29" i="72"/>
  <c r="O29" i="72"/>
  <c r="W22" i="71"/>
  <c r="K22" i="71" s="1"/>
  <c r="L22" i="71" s="1"/>
  <c r="W33" i="71"/>
  <c r="K33" i="71" s="1"/>
  <c r="L33" i="71" s="1"/>
  <c r="W32" i="71"/>
  <c r="K32" i="71" s="1"/>
  <c r="L32" i="71" s="1"/>
  <c r="W31" i="71"/>
  <c r="K31" i="71" s="1"/>
  <c r="L31" i="71" s="1"/>
  <c r="W30" i="71"/>
  <c r="K30" i="71" s="1"/>
  <c r="L30" i="71" s="1"/>
  <c r="W29" i="71"/>
  <c r="K29" i="71" s="1"/>
  <c r="L29" i="71" s="1"/>
  <c r="W28" i="71"/>
  <c r="K28" i="71" s="1"/>
  <c r="L28" i="71" s="1"/>
  <c r="W26" i="71"/>
  <c r="K26" i="71" s="1"/>
  <c r="L26" i="71" s="1"/>
  <c r="W23" i="71"/>
  <c r="K23" i="71" s="1"/>
  <c r="L23" i="71" s="1"/>
  <c r="X22" i="71" s="1"/>
  <c r="M22" i="71" s="1"/>
  <c r="N22" i="71" s="1"/>
  <c r="Q22" i="71" s="1"/>
  <c r="O22" i="71" s="1"/>
  <c r="W19" i="71"/>
  <c r="K19" i="71" s="1"/>
  <c r="L19" i="71" s="1"/>
  <c r="W18" i="71"/>
  <c r="K18" i="71" s="1"/>
  <c r="L18" i="71" s="1"/>
  <c r="W15" i="71"/>
  <c r="K15" i="71" s="1"/>
  <c r="L15" i="71" s="1"/>
  <c r="W10" i="71"/>
  <c r="K10" i="71" s="1"/>
  <c r="L10" i="71" s="1"/>
  <c r="W4" i="71"/>
  <c r="K4" i="71" s="1"/>
  <c r="L4" i="71" s="1"/>
  <c r="X4" i="71"/>
  <c r="M4" i="71" s="1"/>
  <c r="N4" i="71" s="1"/>
  <c r="Q4" i="71"/>
  <c r="O4" i="71" s="1"/>
  <c r="W4" i="73"/>
  <c r="K4" i="73" s="1"/>
  <c r="L4" i="73" s="1"/>
  <c r="X4" i="73" s="1"/>
  <c r="M4" i="73" s="1"/>
  <c r="N4" i="73" s="1"/>
  <c r="W19" i="73"/>
  <c r="K19" i="73" s="1"/>
  <c r="L19" i="73" s="1"/>
  <c r="W15" i="73"/>
  <c r="K15" i="73" s="1"/>
  <c r="L15" i="73" s="1"/>
  <c r="W11" i="73"/>
  <c r="K11" i="73" s="1"/>
  <c r="L11" i="73" s="1"/>
  <c r="W13" i="73"/>
  <c r="K13" i="73" s="1"/>
  <c r="L13" i="73" s="1"/>
  <c r="W28" i="73"/>
  <c r="K28" i="73" s="1"/>
  <c r="L28" i="73" s="1"/>
  <c r="W24" i="73"/>
  <c r="K24" i="73" s="1"/>
  <c r="L24" i="73" s="1"/>
  <c r="W16" i="73"/>
  <c r="K16" i="73" s="1"/>
  <c r="L16" i="73" s="1"/>
  <c r="W12" i="73"/>
  <c r="K12" i="73" s="1"/>
  <c r="L12" i="73" s="1"/>
  <c r="W7" i="73"/>
  <c r="K7" i="73" s="1"/>
  <c r="L7" i="73" s="1"/>
  <c r="W20" i="73"/>
  <c r="K20" i="73" s="1"/>
  <c r="L20" i="73" s="1"/>
  <c r="W8" i="73"/>
  <c r="K8" i="73" s="1"/>
  <c r="L8" i="73" s="1"/>
  <c r="W33" i="73"/>
  <c r="K33" i="73" s="1"/>
  <c r="L33" i="73" s="1"/>
  <c r="W29" i="73"/>
  <c r="K29" i="73" s="1"/>
  <c r="L29" i="73" s="1"/>
  <c r="W27" i="73"/>
  <c r="K27" i="73" s="1"/>
  <c r="L27" i="73" s="1"/>
  <c r="W23" i="73"/>
  <c r="K23" i="73" s="1"/>
  <c r="L23" i="73" s="1"/>
  <c r="W14" i="73"/>
  <c r="K14" i="73" s="1"/>
  <c r="L14" i="73" s="1"/>
  <c r="W10" i="73"/>
  <c r="K10" i="73" s="1"/>
  <c r="L10" i="73" s="1"/>
  <c r="W7" i="58"/>
  <c r="K7" i="58" s="1"/>
  <c r="L7" i="58" s="1"/>
  <c r="W5" i="58"/>
  <c r="K5" i="58" s="1"/>
  <c r="L5" i="58" s="1"/>
  <c r="W4" i="58"/>
  <c r="K4" i="58" s="1"/>
  <c r="L4" i="58" s="1"/>
  <c r="W24" i="58"/>
  <c r="K24" i="58" s="1"/>
  <c r="L24" i="58" s="1"/>
  <c r="W22" i="58"/>
  <c r="K22" i="58" s="1"/>
  <c r="L22" i="58" s="1"/>
  <c r="W21" i="58"/>
  <c r="K21" i="58" s="1"/>
  <c r="L21" i="58" s="1"/>
  <c r="W18" i="58"/>
  <c r="K18" i="58" s="1"/>
  <c r="L18" i="58" s="1"/>
  <c r="W17" i="58"/>
  <c r="K17" i="58" s="1"/>
  <c r="L17" i="58" s="1"/>
  <c r="W15" i="58"/>
  <c r="K15" i="58" s="1"/>
  <c r="L15" i="58" s="1"/>
  <c r="W12" i="58"/>
  <c r="K12" i="58" s="1"/>
  <c r="L12" i="58" s="1"/>
  <c r="W11" i="58"/>
  <c r="K11" i="58" s="1"/>
  <c r="L11" i="58" s="1"/>
  <c r="W25" i="58"/>
  <c r="K25" i="58" s="1"/>
  <c r="L25" i="58" s="1"/>
  <c r="W23" i="58"/>
  <c r="K23" i="58" s="1"/>
  <c r="L23" i="58" s="1"/>
  <c r="W20" i="58"/>
  <c r="K20" i="58" s="1"/>
  <c r="L20" i="58" s="1"/>
  <c r="W19" i="58"/>
  <c r="K19" i="58" s="1"/>
  <c r="L19" i="58" s="1"/>
  <c r="W16" i="58"/>
  <c r="K16" i="58" s="1"/>
  <c r="L16" i="58" s="1"/>
  <c r="W14" i="58"/>
  <c r="K14" i="58" s="1"/>
  <c r="L14" i="58" s="1"/>
  <c r="W13" i="58"/>
  <c r="K13" i="58" s="1"/>
  <c r="L13" i="58" s="1"/>
  <c r="W9" i="58"/>
  <c r="K9" i="58" s="1"/>
  <c r="L9" i="58" s="1"/>
  <c r="W8" i="58"/>
  <c r="K8" i="58" s="1"/>
  <c r="L8" i="58" s="1"/>
  <c r="W6" i="58"/>
  <c r="K6" i="58" s="1"/>
  <c r="L6" i="58" s="1"/>
  <c r="W14" i="65"/>
  <c r="K14" i="65" s="1"/>
  <c r="L14" i="65" s="1"/>
  <c r="W13" i="65"/>
  <c r="K13" i="65" s="1"/>
  <c r="L13" i="65" s="1"/>
  <c r="W5" i="65"/>
  <c r="K5" i="65" s="1"/>
  <c r="L5" i="65" s="1"/>
  <c r="W11" i="65"/>
  <c r="K11" i="65" s="1"/>
  <c r="L11" i="65" s="1"/>
  <c r="W7" i="65"/>
  <c r="K7" i="65" s="1"/>
  <c r="L7" i="65" s="1"/>
  <c r="W16" i="65"/>
  <c r="K16" i="65" s="1"/>
  <c r="L16" i="65" s="1"/>
  <c r="W15" i="65"/>
  <c r="K15" i="65" s="1"/>
  <c r="L15" i="65" s="1"/>
  <c r="W12" i="65"/>
  <c r="K12" i="65" s="1"/>
  <c r="L12" i="65" s="1"/>
  <c r="W10" i="65"/>
  <c r="K10" i="65" s="1"/>
  <c r="L10" i="65" s="1"/>
  <c r="W65" i="77"/>
  <c r="K65" i="77" s="1"/>
  <c r="L65" i="77" s="1"/>
  <c r="W60" i="77"/>
  <c r="K60" i="77" s="1"/>
  <c r="L60" i="77" s="1"/>
  <c r="W57" i="77"/>
  <c r="K57" i="77" s="1"/>
  <c r="L57" i="77" s="1"/>
  <c r="W48" i="77"/>
  <c r="K48" i="77" s="1"/>
  <c r="L48" i="77" s="1"/>
  <c r="W39" i="77"/>
  <c r="K39" i="77" s="1"/>
  <c r="L39" i="77" s="1"/>
  <c r="W12" i="77"/>
  <c r="K12" i="77" s="1"/>
  <c r="L12" i="77" s="1"/>
  <c r="W89" i="77"/>
  <c r="K89" i="77" s="1"/>
  <c r="L89" i="77" s="1"/>
  <c r="W83" i="77"/>
  <c r="K83" i="77" s="1"/>
  <c r="L83" i="77" s="1"/>
  <c r="W74" i="77"/>
  <c r="K74" i="77" s="1"/>
  <c r="L74" i="77" s="1"/>
  <c r="W62" i="77"/>
  <c r="K62" i="77" s="1"/>
  <c r="L62" i="77" s="1"/>
  <c r="W51" i="77"/>
  <c r="K51" i="77" s="1"/>
  <c r="L51" i="77" s="1"/>
  <c r="W50" i="77"/>
  <c r="K50" i="77" s="1"/>
  <c r="L50" i="77" s="1"/>
  <c r="W47" i="77"/>
  <c r="K47" i="77" s="1"/>
  <c r="L47" i="77" s="1"/>
  <c r="W24" i="77"/>
  <c r="K24" i="77" s="1"/>
  <c r="L24" i="77" s="1"/>
  <c r="W19" i="77"/>
  <c r="K19" i="77" s="1"/>
  <c r="L19" i="77" s="1"/>
  <c r="W14" i="77"/>
  <c r="K14" i="77" s="1"/>
  <c r="L14" i="77" s="1"/>
  <c r="W13" i="77"/>
  <c r="K13" i="77" s="1"/>
  <c r="L13" i="77" s="1"/>
  <c r="W6" i="77"/>
  <c r="K6" i="77" s="1"/>
  <c r="L6" i="77" s="1"/>
  <c r="W87" i="77"/>
  <c r="K87" i="77" s="1"/>
  <c r="L87" i="77" s="1"/>
  <c r="W82" i="77"/>
  <c r="K82" i="77" s="1"/>
  <c r="L82" i="77" s="1"/>
  <c r="W81" i="77"/>
  <c r="K81" i="77" s="1"/>
  <c r="L81" i="77" s="1"/>
  <c r="W76" i="77"/>
  <c r="K76" i="77" s="1"/>
  <c r="L76" i="77" s="1"/>
  <c r="W75" i="77"/>
  <c r="K75" i="77" s="1"/>
  <c r="L75" i="77" s="1"/>
  <c r="W72" i="77"/>
  <c r="K72" i="77" s="1"/>
  <c r="L72" i="77" s="1"/>
  <c r="W56" i="77"/>
  <c r="K56" i="77" s="1"/>
  <c r="L56" i="77" s="1"/>
  <c r="W44" i="77"/>
  <c r="K44" i="77" s="1"/>
  <c r="L44" i="77" s="1"/>
  <c r="W38" i="77"/>
  <c r="K38" i="77" s="1"/>
  <c r="L38" i="77" s="1"/>
  <c r="W33" i="77"/>
  <c r="K33" i="77" s="1"/>
  <c r="L33" i="77" s="1"/>
  <c r="W30" i="77"/>
  <c r="K30" i="77" s="1"/>
  <c r="L30" i="77" s="1"/>
  <c r="W21" i="77"/>
  <c r="K21" i="77" s="1"/>
  <c r="L21" i="77" s="1"/>
  <c r="W15" i="77"/>
  <c r="K15" i="77" s="1"/>
  <c r="L15" i="77" s="1"/>
  <c r="W7" i="77"/>
  <c r="K7" i="77" s="1"/>
  <c r="L7" i="77" s="1"/>
  <c r="W6" i="46"/>
  <c r="K6" i="46" s="1"/>
  <c r="L6" i="46" s="1"/>
  <c r="W4" i="46"/>
  <c r="K4" i="46" s="1"/>
  <c r="L4" i="46" s="1"/>
  <c r="W12" i="46"/>
  <c r="K12" i="46" s="1"/>
  <c r="L12" i="46" s="1"/>
  <c r="W17" i="46"/>
  <c r="K17" i="46" s="1"/>
  <c r="L17" i="46" s="1"/>
  <c r="W16" i="46"/>
  <c r="K16" i="46" s="1"/>
  <c r="L16" i="46" s="1"/>
  <c r="W15" i="46"/>
  <c r="K15" i="46" s="1"/>
  <c r="L15" i="46" s="1"/>
  <c r="W14" i="46"/>
  <c r="K14" i="46" s="1"/>
  <c r="L14" i="46" s="1"/>
  <c r="W11" i="46"/>
  <c r="K11" i="46" s="1"/>
  <c r="L11" i="46" s="1"/>
  <c r="W10" i="46"/>
  <c r="K10" i="46" s="1"/>
  <c r="L10" i="46" s="1"/>
  <c r="W26" i="46"/>
  <c r="K26" i="46" s="1"/>
  <c r="L26" i="46" s="1"/>
  <c r="W22" i="46"/>
  <c r="K22" i="46" s="1"/>
  <c r="L22" i="46" s="1"/>
  <c r="W21" i="46"/>
  <c r="K21" i="46" s="1"/>
  <c r="L21" i="46" s="1"/>
  <c r="W8" i="46"/>
  <c r="K8" i="46" s="1"/>
  <c r="L8" i="46" s="1"/>
  <c r="W9" i="3"/>
  <c r="K9" i="3" s="1"/>
  <c r="L9" i="3" s="1"/>
  <c r="W11" i="3"/>
  <c r="K11" i="3" s="1"/>
  <c r="L11" i="3" s="1"/>
  <c r="W6" i="3"/>
  <c r="K6" i="3" s="1"/>
  <c r="L6" i="3" s="1"/>
  <c r="W35" i="3"/>
  <c r="K35" i="3" s="1"/>
  <c r="L35" i="3" s="1"/>
  <c r="W34" i="3"/>
  <c r="K34" i="3" s="1"/>
  <c r="L34" i="3" s="1"/>
  <c r="W27" i="3"/>
  <c r="K27" i="3" s="1"/>
  <c r="L27" i="3" s="1"/>
  <c r="W29" i="3"/>
  <c r="K29" i="3" s="1"/>
  <c r="L29" i="3" s="1"/>
  <c r="W21" i="3"/>
  <c r="K21" i="3" s="1"/>
  <c r="L21" i="3" s="1"/>
  <c r="W20" i="3"/>
  <c r="K20" i="3" s="1"/>
  <c r="L20" i="3" s="1"/>
  <c r="W15" i="3"/>
  <c r="K15" i="3" s="1"/>
  <c r="L15" i="3" s="1"/>
  <c r="W10" i="3"/>
  <c r="K10" i="3" s="1"/>
  <c r="L10" i="3" s="1"/>
  <c r="W32" i="3"/>
  <c r="K32" i="3" s="1"/>
  <c r="L32" i="3" s="1"/>
  <c r="W31" i="3"/>
  <c r="K31" i="3" s="1"/>
  <c r="L31" i="3" s="1"/>
  <c r="W30" i="3"/>
  <c r="K30" i="3" s="1"/>
  <c r="L30" i="3" s="1"/>
  <c r="W23" i="3"/>
  <c r="K23" i="3" s="1"/>
  <c r="L23" i="3" s="1"/>
  <c r="W22" i="3"/>
  <c r="K22" i="3" s="1"/>
  <c r="L22" i="3" s="1"/>
  <c r="W17" i="3"/>
  <c r="K17" i="3" s="1"/>
  <c r="L17" i="3" s="1"/>
  <c r="W13" i="3"/>
  <c r="K13" i="3" s="1"/>
  <c r="L13" i="3" s="1"/>
  <c r="W12" i="3"/>
  <c r="K12" i="3" s="1"/>
  <c r="L12" i="3" s="1"/>
  <c r="W8" i="3"/>
  <c r="K8" i="3" s="1"/>
  <c r="L8" i="3" s="1"/>
  <c r="W28" i="3"/>
  <c r="K28" i="3" s="1"/>
  <c r="L28" i="3" s="1"/>
  <c r="W26" i="3"/>
  <c r="K26" i="3" s="1"/>
  <c r="L26" i="3" s="1"/>
  <c r="W24" i="3"/>
  <c r="K24" i="3" s="1"/>
  <c r="L24" i="3" s="1"/>
  <c r="W19" i="3"/>
  <c r="K19" i="3" s="1"/>
  <c r="L19" i="3" s="1"/>
  <c r="W18" i="3"/>
  <c r="K18" i="3" s="1"/>
  <c r="L18" i="3" s="1"/>
  <c r="W14" i="3"/>
  <c r="K14" i="3" s="1"/>
  <c r="L14" i="3" s="1"/>
  <c r="W18" i="67"/>
  <c r="K18" i="67" s="1"/>
  <c r="L18" i="67" s="1"/>
  <c r="W5" i="67"/>
  <c r="K5" i="67" s="1"/>
  <c r="L5" i="67" s="1"/>
  <c r="W6" i="67"/>
  <c r="K6" i="67" s="1"/>
  <c r="L6" i="67" s="1"/>
  <c r="W12" i="67"/>
  <c r="K12" i="67" s="1"/>
  <c r="L12" i="67" s="1"/>
  <c r="W11" i="67"/>
  <c r="K11" i="67" s="1"/>
  <c r="L11" i="67" s="1"/>
  <c r="W9" i="67"/>
  <c r="K9" i="67" s="1"/>
  <c r="L9" i="67" s="1"/>
  <c r="W8" i="67"/>
  <c r="K8" i="67" s="1"/>
  <c r="L8" i="67" s="1"/>
  <c r="W20" i="67"/>
  <c r="K20" i="67" s="1"/>
  <c r="L20" i="67" s="1"/>
  <c r="W16" i="67"/>
  <c r="K16" i="67" s="1"/>
  <c r="L16" i="67" s="1"/>
  <c r="W15" i="67"/>
  <c r="K15" i="67" s="1"/>
  <c r="L15" i="67" s="1"/>
  <c r="W23" i="67"/>
  <c r="K23" i="67" s="1"/>
  <c r="L23" i="67" s="1"/>
  <c r="W21" i="67"/>
  <c r="K21" i="67" s="1"/>
  <c r="L21" i="67" s="1"/>
  <c r="W14" i="67"/>
  <c r="K14" i="67" s="1"/>
  <c r="L14" i="67" s="1"/>
  <c r="W13" i="67"/>
  <c r="K13" i="67" s="1"/>
  <c r="L13" i="67" s="1"/>
  <c r="W10" i="67"/>
  <c r="K10" i="67" s="1"/>
  <c r="L10" i="67" s="1"/>
  <c r="W13" i="64"/>
  <c r="K13" i="64" s="1"/>
  <c r="L13" i="64" s="1"/>
  <c r="W20" i="64"/>
  <c r="K20" i="64" s="1"/>
  <c r="L20" i="64" s="1"/>
  <c r="W12" i="64"/>
  <c r="K12" i="64" s="1"/>
  <c r="L12" i="64" s="1"/>
  <c r="W4" i="64"/>
  <c r="K4" i="64" s="1"/>
  <c r="L4" i="64" s="1"/>
  <c r="X31" i="70" l="1"/>
  <c r="M31" i="70" s="1"/>
  <c r="N31" i="70" s="1"/>
  <c r="Q31" i="70" s="1"/>
  <c r="O31" i="70" s="1"/>
  <c r="X7" i="70"/>
  <c r="M7" i="70" s="1"/>
  <c r="N7" i="70" s="1"/>
  <c r="Q7" i="70" s="1"/>
  <c r="X45" i="77"/>
  <c r="M45" i="77" s="1"/>
  <c r="N45" i="77" s="1"/>
  <c r="Q45" i="77" s="1"/>
  <c r="O45" i="77" s="1"/>
  <c r="X16" i="77"/>
  <c r="M16" i="77" s="1"/>
  <c r="N16" i="77" s="1"/>
  <c r="Q16" i="77" s="1"/>
  <c r="O16" i="77" s="1"/>
  <c r="X90" i="77"/>
  <c r="M90" i="77" s="1"/>
  <c r="N90" i="77" s="1"/>
  <c r="Q90" i="77" s="1"/>
  <c r="X8" i="69"/>
  <c r="M8" i="69" s="1"/>
  <c r="N8" i="69" s="1"/>
  <c r="U1" i="69" s="1"/>
  <c r="F1" i="69" s="1"/>
  <c r="C8" i="22" s="1"/>
  <c r="X7" i="71"/>
  <c r="M7" i="71" s="1"/>
  <c r="N7" i="71" s="1"/>
  <c r="Q7" i="71" s="1"/>
  <c r="X39" i="71"/>
  <c r="M39" i="71" s="1"/>
  <c r="N39" i="71" s="1"/>
  <c r="Q39" i="71" s="1"/>
  <c r="O39" i="71" s="1"/>
  <c r="X8" i="66"/>
  <c r="M8" i="66" s="1"/>
  <c r="N8" i="66" s="1"/>
  <c r="Q8" i="66" s="1"/>
  <c r="O8" i="66" s="1"/>
  <c r="O21" i="66"/>
  <c r="M30" i="73"/>
  <c r="N30" i="73" s="1"/>
  <c r="Q30" i="73" s="1"/>
  <c r="X4" i="65"/>
  <c r="M4" i="65" s="1"/>
  <c r="N4" i="65" s="1"/>
  <c r="Q4" i="65" s="1"/>
  <c r="O4" i="65" s="1"/>
  <c r="O42" i="70"/>
  <c r="X9" i="67"/>
  <c r="M9" i="67" s="1"/>
  <c r="N9" i="67" s="1"/>
  <c r="Q9" i="67" s="1"/>
  <c r="O9" i="67" s="1"/>
  <c r="X4" i="3"/>
  <c r="M4" i="3" s="1"/>
  <c r="N4" i="3" s="1"/>
  <c r="Q4" i="3" s="1"/>
  <c r="O4" i="3" s="1"/>
  <c r="X17" i="64"/>
  <c r="M17" i="64" s="1"/>
  <c r="N17" i="64" s="1"/>
  <c r="Q17" i="64" s="1"/>
  <c r="O17" i="64" s="1"/>
  <c r="X4" i="64"/>
  <c r="M4" i="64" s="1"/>
  <c r="N4" i="64" s="1"/>
  <c r="Q4" i="64" s="1"/>
  <c r="O4" i="64" s="1"/>
  <c r="U1" i="74"/>
  <c r="F1" i="74" s="1"/>
  <c r="T1" i="74" s="1"/>
  <c r="E1" i="74" s="1"/>
  <c r="D16" i="22" s="1"/>
  <c r="Q4" i="74"/>
  <c r="O4" i="74" s="1"/>
  <c r="X4" i="66"/>
  <c r="M4" i="66" s="1"/>
  <c r="N4" i="66" s="1"/>
  <c r="Q21" i="70"/>
  <c r="O21" i="70" s="1"/>
  <c r="X10" i="80"/>
  <c r="M10" i="80" s="1"/>
  <c r="N10" i="80" s="1"/>
  <c r="Q10" i="80" s="1"/>
  <c r="O10" i="80" s="1"/>
  <c r="Q4" i="80"/>
  <c r="O4" i="80" s="1"/>
  <c r="X33" i="71"/>
  <c r="M33" i="71" s="1"/>
  <c r="N33" i="71" s="1"/>
  <c r="Q33" i="71" s="1"/>
  <c r="O33" i="71" s="1"/>
  <c r="X7" i="72"/>
  <c r="M7" i="72" s="1"/>
  <c r="N7" i="72" s="1"/>
  <c r="Q7" i="72" s="1"/>
  <c r="O7" i="72" s="1"/>
  <c r="X14" i="71"/>
  <c r="M14" i="71" s="1"/>
  <c r="N14" i="71" s="1"/>
  <c r="Q14" i="71" s="1"/>
  <c r="X26" i="71"/>
  <c r="M26" i="71" s="1"/>
  <c r="N26" i="71" s="1"/>
  <c r="Q26" i="71" s="1"/>
  <c r="O26" i="71" s="1"/>
  <c r="X30" i="73"/>
  <c r="X21" i="73"/>
  <c r="M21" i="73" s="1"/>
  <c r="N21" i="73" s="1"/>
  <c r="Q21" i="73" s="1"/>
  <c r="O21" i="73" s="1"/>
  <c r="X7" i="73"/>
  <c r="M7" i="73" s="1"/>
  <c r="N7" i="73" s="1"/>
  <c r="Q7" i="73" s="1"/>
  <c r="Q4" i="73"/>
  <c r="O4" i="73" s="1"/>
  <c r="X4" i="58"/>
  <c r="M4" i="58" s="1"/>
  <c r="N4" i="58" s="1"/>
  <c r="Q4" i="58" s="1"/>
  <c r="O4" i="58" s="1"/>
  <c r="X16" i="58"/>
  <c r="M16" i="58" s="1"/>
  <c r="N16" i="58" s="1"/>
  <c r="Q16" i="58" s="1"/>
  <c r="O16" i="58" s="1"/>
  <c r="X20" i="58"/>
  <c r="M20" i="58" s="1"/>
  <c r="N20" i="58" s="1"/>
  <c r="Q20" i="58" s="1"/>
  <c r="X7" i="58"/>
  <c r="M7" i="58" s="1"/>
  <c r="N7" i="58" s="1"/>
  <c r="Q7" i="58" s="1"/>
  <c r="O7" i="58" s="1"/>
  <c r="X13" i="65"/>
  <c r="M13" i="65" s="1"/>
  <c r="N13" i="65" s="1"/>
  <c r="Q13" i="65" s="1"/>
  <c r="O13" i="65" s="1"/>
  <c r="X7" i="65"/>
  <c r="M7" i="65" s="1"/>
  <c r="N7" i="65" s="1"/>
  <c r="Q7" i="65" s="1"/>
  <c r="O7" i="65" s="1"/>
  <c r="X15" i="65"/>
  <c r="M15" i="65" s="1"/>
  <c r="N15" i="65" s="1"/>
  <c r="Q15" i="65" s="1"/>
  <c r="X58" i="77"/>
  <c r="M58" i="77" s="1"/>
  <c r="N58" i="77" s="1"/>
  <c r="Q58" i="77" s="1"/>
  <c r="X53" i="77"/>
  <c r="M53" i="77" s="1"/>
  <c r="N53" i="77" s="1"/>
  <c r="Q53" i="77" s="1"/>
  <c r="X4" i="77"/>
  <c r="M4" i="77" s="1"/>
  <c r="N4" i="77" s="1"/>
  <c r="Q4" i="77" s="1"/>
  <c r="O4" i="77" s="1"/>
  <c r="X77" i="77"/>
  <c r="M77" i="77" s="1"/>
  <c r="N77" i="77" s="1"/>
  <c r="Q77" i="77" s="1"/>
  <c r="X70" i="77"/>
  <c r="M70" i="77" s="1"/>
  <c r="N70" i="77" s="1"/>
  <c r="Q70" i="77" s="1"/>
  <c r="O70" i="77" s="1"/>
  <c r="X26" i="77"/>
  <c r="M26" i="77" s="1"/>
  <c r="N26" i="77" s="1"/>
  <c r="Q26" i="77" s="1"/>
  <c r="O26" i="77" s="1"/>
  <c r="X10" i="77"/>
  <c r="M10" i="77" s="1"/>
  <c r="N10" i="77" s="1"/>
  <c r="Q10" i="77" s="1"/>
  <c r="O10" i="77" s="1"/>
  <c r="X36" i="77"/>
  <c r="M36" i="77" s="1"/>
  <c r="N36" i="77" s="1"/>
  <c r="Q36" i="77" s="1"/>
  <c r="O36" i="77" s="1"/>
  <c r="X4" i="46"/>
  <c r="M4" i="46" s="1"/>
  <c r="N4" i="46" s="1"/>
  <c r="Q4" i="46" s="1"/>
  <c r="X9" i="46"/>
  <c r="M9" i="46" s="1"/>
  <c r="N9" i="46" s="1"/>
  <c r="Q9" i="46" s="1"/>
  <c r="X20" i="46"/>
  <c r="M20" i="46" s="1"/>
  <c r="N20" i="46" s="1"/>
  <c r="X27" i="3"/>
  <c r="M27" i="3" s="1"/>
  <c r="N27" i="3" s="1"/>
  <c r="Q27" i="3" s="1"/>
  <c r="O27" i="3" s="1"/>
  <c r="X9" i="3"/>
  <c r="M9" i="3" s="1"/>
  <c r="N9" i="3" s="1"/>
  <c r="Q9" i="3" s="1"/>
  <c r="X18" i="3"/>
  <c r="M18" i="3" s="1"/>
  <c r="N18" i="3" s="1"/>
  <c r="Q18" i="3" s="1"/>
  <c r="O18" i="3" s="1"/>
  <c r="X4" i="67"/>
  <c r="M4" i="67" s="1"/>
  <c r="N4" i="67" s="1"/>
  <c r="Q4" i="67" s="1"/>
  <c r="O4" i="67" s="1"/>
  <c r="X11" i="67"/>
  <c r="M11" i="67" s="1"/>
  <c r="N11" i="67" s="1"/>
  <c r="Q11" i="67" s="1"/>
  <c r="O11" i="67" s="1"/>
  <c r="X10" i="64"/>
  <c r="M10" i="64" s="1"/>
  <c r="N10" i="64" s="1"/>
  <c r="Q10" i="64" s="1"/>
  <c r="O10" i="64" s="1"/>
  <c r="U1" i="70" l="1"/>
  <c r="F1" i="70" s="1"/>
  <c r="C9" i="22" s="1"/>
  <c r="O7" i="70"/>
  <c r="O90" i="77"/>
  <c r="O53" i="77"/>
  <c r="Q8" i="69"/>
  <c r="O8" i="69" s="1"/>
  <c r="O7" i="71"/>
  <c r="F1" i="66"/>
  <c r="U1" i="72"/>
  <c r="F1" i="72" s="1"/>
  <c r="C15" i="22" s="1"/>
  <c r="O30" i="73"/>
  <c r="C16" i="22"/>
  <c r="C13" i="22"/>
  <c r="T1" i="66"/>
  <c r="E1" i="66" s="1"/>
  <c r="D13" i="22" s="1"/>
  <c r="U1" i="66"/>
  <c r="Q4" i="66"/>
  <c r="O4" i="66" s="1"/>
  <c r="T1" i="69"/>
  <c r="E1" i="69" s="1"/>
  <c r="D8" i="22" s="1"/>
  <c r="U1" i="80"/>
  <c r="F1" i="80" s="1"/>
  <c r="T1" i="80" s="1"/>
  <c r="E1" i="80" s="1"/>
  <c r="D7" i="22" s="1"/>
  <c r="O14" i="71"/>
  <c r="U1" i="71"/>
  <c r="F1" i="71" s="1"/>
  <c r="T1" i="71" s="1"/>
  <c r="E1" i="71" s="1"/>
  <c r="D10" i="22" s="1"/>
  <c r="U1" i="73"/>
  <c r="F1" i="73" s="1"/>
  <c r="C14" i="22" s="1"/>
  <c r="O7" i="73"/>
  <c r="O20" i="58"/>
  <c r="U1" i="58"/>
  <c r="F1" i="58" s="1"/>
  <c r="C11" i="22" s="1"/>
  <c r="F1" i="65"/>
  <c r="T1" i="65" s="1"/>
  <c r="E1" i="65" s="1"/>
  <c r="D12" i="22" s="1"/>
  <c r="U1" i="65"/>
  <c r="O15" i="65"/>
  <c r="O58" i="77"/>
  <c r="O77" i="77"/>
  <c r="U1" i="77"/>
  <c r="F1" i="77" s="1"/>
  <c r="T1" i="77" s="1"/>
  <c r="E1" i="77" s="1"/>
  <c r="D6" i="22" s="1"/>
  <c r="O4" i="46"/>
  <c r="O9" i="46"/>
  <c r="U1" i="46"/>
  <c r="F1" i="46" s="1"/>
  <c r="T1" i="46" s="1"/>
  <c r="O9" i="3"/>
  <c r="U1" i="3"/>
  <c r="F1" i="3" s="1"/>
  <c r="C3" i="22" s="1"/>
  <c r="U1" i="67"/>
  <c r="F1" i="67" s="1"/>
  <c r="T1" i="67" s="1"/>
  <c r="E1" i="67" s="1"/>
  <c r="D5" i="22" s="1"/>
  <c r="U1" i="64"/>
  <c r="F1" i="64" s="1"/>
  <c r="T1" i="64" s="1"/>
  <c r="E1" i="64" s="1"/>
  <c r="D2" i="22" s="1"/>
  <c r="T1" i="70" l="1"/>
  <c r="E1" i="70" s="1"/>
  <c r="D9" i="22" s="1"/>
  <c r="T1" i="72"/>
  <c r="E1" i="72" s="1"/>
  <c r="D15" i="22" s="1"/>
  <c r="C7" i="22"/>
  <c r="C10" i="22"/>
  <c r="T1" i="73"/>
  <c r="E1" i="73" s="1"/>
  <c r="D14" i="22" s="1"/>
  <c r="T1" i="58"/>
  <c r="E1" i="58" s="1"/>
  <c r="D11" i="22" s="1"/>
  <c r="C12" i="22"/>
  <c r="C6" i="22"/>
  <c r="E1" i="46"/>
  <c r="C4" i="22"/>
  <c r="T1" i="3"/>
  <c r="E1" i="3" s="1"/>
  <c r="D3" i="22" s="1"/>
  <c r="C5" i="22"/>
  <c r="C2" i="22"/>
  <c r="C18" i="22" l="1"/>
  <c r="C19" i="22" s="1"/>
  <c r="D18" i="22" s="1"/>
  <c r="C21" i="22"/>
  <c r="E20" i="2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Abhinav Ashish</author>
  </authors>
  <commentList>
    <comment ref="E20" authorId="0" shapeId="0" xr:uid="{00000000-0006-0000-0400-000001000000}">
      <text>
        <r>
          <rPr>
            <b/>
            <sz val="9"/>
            <color indexed="81"/>
            <rFont val="Tahoma"/>
            <family val="2"/>
          </rPr>
          <t>Abhinav Ashish:</t>
        </r>
        <r>
          <rPr>
            <sz val="9"/>
            <color indexed="81"/>
            <rFont val="Tahoma"/>
            <family val="2"/>
          </rPr>
          <t xml:space="preserve">
Standard is not available 
 Name of the standard??</t>
        </r>
      </text>
    </comment>
  </commentList>
</comments>
</file>

<file path=xl/sharedStrings.xml><?xml version="1.0" encoding="utf-8"?>
<sst xmlns="http://schemas.openxmlformats.org/spreadsheetml/2006/main" count="4231" uniqueCount="985">
  <si>
    <t>Version 2.0</t>
  </si>
  <si>
    <t>`</t>
  </si>
  <si>
    <t>S. No.</t>
  </si>
  <si>
    <t>Particular</t>
  </si>
  <si>
    <t>Link</t>
  </si>
  <si>
    <t>Read Me</t>
  </si>
  <si>
    <t>Click Here</t>
  </si>
  <si>
    <t>Maturity of Security Domains</t>
  </si>
  <si>
    <t>Detailed Observations</t>
  </si>
  <si>
    <t>Objective:</t>
  </si>
  <si>
    <t>The objective of this Workbook is to provide an assurance framework for the cyber security maturity assessment</t>
  </si>
  <si>
    <t>Domains Covered:</t>
  </si>
  <si>
    <t>This workbook lists a database of controls against 19 security domains identified for the organization's environment. It may be noted that there may be few controls/ security domains which might not be applicable to a particular organization. The workbook provides ready to use templates which will calculate the control rating of the individual controls and provides an overall domain rating for the respective security domain.</t>
  </si>
  <si>
    <t>Approach:</t>
  </si>
  <si>
    <t>This workbook lists a database of controls against 19 security domains identified for the organizations environment. It may be noted that there may be few controls/ security domains which might not be applicable to a particular organization. The workbook provides ready to use templates which will calculate the control rating of the individual controls and provides an overall domain rating for the respective security domain.</t>
  </si>
  <si>
    <t>1. Identification of Cyber Security domains defined under Security Domains Tab.</t>
  </si>
  <si>
    <t>2. Identification of sub domains under each security domain and covering the controls in the sub domain.</t>
  </si>
  <si>
    <t>3. Identification of controls as Preventive, Detective, Corrective controls.</t>
  </si>
  <si>
    <t>4. The Key controls are identified within each sub domain and they are given additional 20% more weightage than other controls.</t>
  </si>
  <si>
    <t>5. The ratings given against each control is divided among four sections which are Documentation, Implementation, Automation and Monitoring &amp; Review.</t>
  </si>
  <si>
    <t>6. Based on each control rating, sub domain rating will be derived followed by Security Domain Maturity Rating aligned to CMMI and NIST.</t>
  </si>
  <si>
    <t xml:space="preserve">     1 - INITIAL     2 - PARTIAL     3 - DEFINED     4 - REPEATABLE     5 - ADAPTIVE</t>
  </si>
  <si>
    <t>Definitions for Risk Criticality:</t>
  </si>
  <si>
    <t xml:space="preserve">Risk Rating </t>
  </si>
  <si>
    <t>Definition</t>
  </si>
  <si>
    <t>Control rating</t>
  </si>
  <si>
    <t>High</t>
  </si>
  <si>
    <t xml:space="preserve">Observations having direct impact on Impact on CIA, financial/operational data </t>
  </si>
  <si>
    <t>below 1.74</t>
  </si>
  <si>
    <t>Medium</t>
  </si>
  <si>
    <t>Observations having impact on the design and system level controls of the organization</t>
  </si>
  <si>
    <t>1.75-2.29</t>
  </si>
  <si>
    <t>Low</t>
  </si>
  <si>
    <t>Observations that do not have direct impact on the organizations data, design and system level controls</t>
  </si>
  <si>
    <t>2.30-2.74</t>
  </si>
  <si>
    <t xml:space="preserve">Information </t>
  </si>
  <si>
    <t>opportunity for improvement</t>
  </si>
  <si>
    <t>2.75-2.99</t>
  </si>
  <si>
    <r>
      <rPr>
        <b/>
        <sz val="11"/>
        <color theme="1"/>
        <rFont val="Calibri"/>
        <family val="2"/>
        <scheme val="minor"/>
      </rPr>
      <t>Note:</t>
    </r>
    <r>
      <rPr>
        <sz val="11"/>
        <color theme="1"/>
        <rFont val="Calibri"/>
        <family val="2"/>
        <scheme val="minor"/>
      </rPr>
      <t xml:space="preserve"> These control rating are only for guidance purpose.</t>
    </r>
  </si>
  <si>
    <t>Version Control:</t>
  </si>
  <si>
    <t>Version No</t>
  </si>
  <si>
    <t>Description of changes made</t>
  </si>
  <si>
    <t>Initial Version</t>
  </si>
  <si>
    <t>Added controls as mentioned below:
IS Governance: 1.9; Access Management: 2.5, 2.13, 2.16, 2.24, 2.32, 2.33; Asset Management: 3.4, 3.21, 3.22; Incident Management: 4.19; Infra and Operations Sec: 5.11, 5.12, 5.22, 5.37, 5.40, 5.46, 5.47, 5.48, 5.73, 5.83, 5.84, 5.85, 5.88, 5.89, 5.90, 5.91, 5.92, 5.93; Mobility: 6.8, 6.12, 6.23; Privacy: 7.9, 7.10, 7.11; Cloud: 8.4, 8.5, 8.6, 8.7, 8.8, 8.9, 8.10, 8.14, 8.19,  8.24, 8.25, 8.26, 8.33; Network Security: 10.15, 10.17, 10.19, 10.29, 10.30, 10.43, 10.72, 10.75, 10.76, 10.77, 10.78, 10.83, 10.84, 10.85, 10.86, 10.87, 10.88, 10.89, 10.90, 10.91; Endpoint Security: 11.10, 11.13, 11.14, 11.15, 11.17, 11.22, 11.23, 11.24, 11.25, 11.26, 11.27, 11.28, 11.29, 11.30, 11.31, 11.32, 11.33, 11.34, 11.35, 11.36, 11.37, 11.38, 11.39, 11.40, 11.41, 11.42, 11.43, 11.44; Application Security: 13.1, 13.2, 13.3, 13.19, 13.19, 13.22, 13.32, 13.34, 13.44; Encryption: 14.14, 14.15, 14.16, 14.7, 14.18, 14.19; Risk Management: 15.4, 15.8, 15.15; Business Continuity: 16.19, 16.20; Physical and Environment: 17.21, 17.25; Third Party: 18.7, 18.15, 18.16, 18.17, 18.18, 18.19, 18.20, 18.21, 18.26, 18.27</t>
  </si>
  <si>
    <t>Domain</t>
  </si>
  <si>
    <t>Maturity Rating</t>
  </si>
  <si>
    <t>Maturity Rating Category</t>
  </si>
  <si>
    <t>IS Governance</t>
  </si>
  <si>
    <t>Access Management</t>
  </si>
  <si>
    <t>Asset Management</t>
  </si>
  <si>
    <t>Incident Management</t>
  </si>
  <si>
    <t>Infrastructure &amp; Operations Security</t>
  </si>
  <si>
    <t>Mobility</t>
  </si>
  <si>
    <t>Emerging Technologies</t>
  </si>
  <si>
    <t>Network Security</t>
  </si>
  <si>
    <t>Endpoint Protection</t>
  </si>
  <si>
    <t>Application Security</t>
  </si>
  <si>
    <t>Encryption</t>
  </si>
  <si>
    <t>Risk Management</t>
  </si>
  <si>
    <t>Human Resource Security</t>
  </si>
  <si>
    <t>Business Continuity</t>
  </si>
  <si>
    <t>Physical &amp; Environmental Security</t>
  </si>
  <si>
    <t>Third Party Security</t>
  </si>
  <si>
    <t>Compliance Management</t>
  </si>
  <si>
    <t xml:space="preserve">Overall Rating </t>
  </si>
  <si>
    <t>Excluded Privacy</t>
  </si>
  <si>
    <t>Average Domain Rating</t>
  </si>
  <si>
    <t>High Level Description</t>
  </si>
  <si>
    <t>Control Description</t>
  </si>
  <si>
    <t>Identified Key Controls (K)</t>
  </si>
  <si>
    <t>Control</t>
  </si>
  <si>
    <t>Preventive/ Detective/Corrective</t>
  </si>
  <si>
    <t>Documentation</t>
  </si>
  <si>
    <t>Implementation</t>
  </si>
  <si>
    <t>Automation</t>
  </si>
  <si>
    <t>Monitor &amp; Review</t>
  </si>
  <si>
    <t xml:space="preserve">Control Rating </t>
  </si>
  <si>
    <t>Rating with Key controls weightage</t>
  </si>
  <si>
    <t>Average Rating</t>
  </si>
  <si>
    <t>Maturity Rating                    (1 - 5)</t>
  </si>
  <si>
    <t>Category</t>
  </si>
  <si>
    <t>Doc</t>
  </si>
  <si>
    <t>Impl</t>
  </si>
  <si>
    <t>Auto</t>
  </si>
  <si>
    <t>Review</t>
  </si>
  <si>
    <t>Policy and procedures</t>
  </si>
  <si>
    <t>Access control policy should be established, documented and approved by authorised individuals. The document should be reviewed periodically and updated whenever significant changes occur.</t>
  </si>
  <si>
    <t>K</t>
  </si>
  <si>
    <t>Organization should have an Access Management policy/ procedure defined, approved by the management</t>
  </si>
  <si>
    <t>Preventive</t>
  </si>
  <si>
    <t>Informally Documented</t>
  </si>
  <si>
    <t>Not Applicable</t>
  </si>
  <si>
    <t>Organization should have a password policy defined and approved by the management</t>
  </si>
  <si>
    <t>The documents are reviewed, updated and approved as per the defined frequency in the policy/ procedure.</t>
  </si>
  <si>
    <t>The version control of the documents should be maintained</t>
  </si>
  <si>
    <t>Not Implemented</t>
  </si>
  <si>
    <t>There is process defined for the management of the Non-domain ID</t>
  </si>
  <si>
    <t>Access provisioning and deprovisioning</t>
  </si>
  <si>
    <t>There is a formal user access provisioning and de-provisioning process defined for granting and revoking access to all information systems and services.(for Employees and Third parties)</t>
  </si>
  <si>
    <t>Access to information systems and services should be granted only  post authorised approvals</t>
  </si>
  <si>
    <t>51 - 100% Implemented</t>
  </si>
  <si>
    <t>Partially Automated</t>
  </si>
  <si>
    <t>Not Monitored &amp; Reviewed</t>
  </si>
  <si>
    <t>Access rights are granted based on the principle of least privilege</t>
  </si>
  <si>
    <t>User IDs are uniquely created to establish accountability within the organization and generic IDs should be used subject to management approval</t>
  </si>
  <si>
    <t>Detective</t>
  </si>
  <si>
    <t>Central record is maintained of all access rights granted to users.</t>
  </si>
  <si>
    <t>2. 10</t>
  </si>
  <si>
    <t>User access rights are reviewed by the authorised personnel at regular intervals defined in policy/ procedures.</t>
  </si>
  <si>
    <t>Access to information systems and services should be revoked post termination of the employee within the defined period.</t>
  </si>
  <si>
    <t>"Restricted access and authorised use only"  warnings are displayed upon access to all systems</t>
  </si>
  <si>
    <t xml:space="preserve">Application specific user review are performed as per the defined frequency in the policy/ procedure. Also inactive user are disabled. </t>
  </si>
  <si>
    <t>Enable accounts used by vendors for remote maintenance only during the time needed.</t>
  </si>
  <si>
    <t>Password Management</t>
  </si>
  <si>
    <t>Secure password management processes should be implemented consistently within the organization</t>
  </si>
  <si>
    <t>Passwords for the end users and administrators must be configured based on the password policy defined for the organization.</t>
  </si>
  <si>
    <t>All default manufacturers passwords and/or end user passwords are changed upon first login. Also the user should be asked to reset its password upon first login</t>
  </si>
  <si>
    <t>Password should be stored securely and should not be shared with anyone.</t>
  </si>
  <si>
    <t>Formally Documented</t>
  </si>
  <si>
    <t>Password should be alpha numeric, special character, minimum 8 characters and should not include dictionary words.</t>
  </si>
  <si>
    <t>Automated</t>
  </si>
  <si>
    <t>There is an enforced limit of invalid / failed logon attempts as per the defined password management policy of the organization</t>
  </si>
  <si>
    <t>2. 20</t>
  </si>
  <si>
    <t>The session should be automatically locked as per the duration defined by the organization.</t>
  </si>
  <si>
    <t>Passwords should be changed at periodic intervals as per the password policy of the organization.</t>
  </si>
  <si>
    <t>0 - 50% Implemented</t>
  </si>
  <si>
    <t>Service accounts with password never expiry are non-interactive.</t>
  </si>
  <si>
    <t>Not Documented</t>
  </si>
  <si>
    <t>Secret authentication information such as tokens, OTPs are used to login on critical applications and systems.</t>
  </si>
  <si>
    <t>Monitored &amp; Reviewed</t>
  </si>
  <si>
    <t>Privileged Identity Management</t>
  </si>
  <si>
    <t>Privileged access to information and services should be given on a need-to-know basis and should be managed securely. Applicability to Production/Dev/UAT and types of system(Servers, DB, Appliances, Network)</t>
  </si>
  <si>
    <t>Access privileges must be granted based on the approvals by an authorised personnel.</t>
  </si>
  <si>
    <t>Administrative activities are logged and the audit trails must be stored.</t>
  </si>
  <si>
    <t>Administrative IDs must be reviewed on a periodic basis by authorised personnel</t>
  </si>
  <si>
    <t>The privileged access rights must be revoked after the expiration of the validity period as mentioned in the user access management procedure</t>
  </si>
  <si>
    <t>2. 30</t>
  </si>
  <si>
    <t>There is a privilege identity management tool implemented for monitoring the privilege activity</t>
  </si>
  <si>
    <t>Privileged accounts are not shared among multiple users.</t>
  </si>
  <si>
    <t xml:space="preserve">Multifactor authentication should be implemented for PIM </t>
  </si>
  <si>
    <t>There should be a defined process in place to detect any PIM bypass</t>
  </si>
  <si>
    <t>Administrative credentials are stored securely either with an authorised personnel or in a safe custody.</t>
  </si>
  <si>
    <t>Information Security policy should be established, documented and approved by authorized individuals. The document should be reviewed periodically and updated whenever significant changes occur.</t>
  </si>
  <si>
    <t>Organization should have an Information Security policy defined, approved  by the management</t>
  </si>
  <si>
    <t>The Information Security policy covers objectives, scope, ownership and responsibility for the policy.</t>
  </si>
  <si>
    <t>The IS organization structure should be well defined, reviewed and approved by the management.</t>
  </si>
  <si>
    <t>The information security policies and procedures shall be communicated to the employees and relevant external parties.</t>
  </si>
  <si>
    <t>The version control of the document is maintained</t>
  </si>
  <si>
    <t>Organization Structure</t>
  </si>
  <si>
    <t>Organization should ensure that the roles and responsibilities of all the employees are defined and the organization structure should be well maintained within the organization</t>
  </si>
  <si>
    <t>Organization has a designated Chief Information Security Officer (CISO) responsible for Information security related decisions and operations.</t>
  </si>
  <si>
    <t xml:space="preserve">Organization has an IS Steering Committee, the stakeholders are identified and periodicity for steering committee meeting is identified, documented and approved. </t>
  </si>
  <si>
    <t>The policies, procedures, and processes to manage / monitor the organization’s regulatory, legal, risk, environmental, and operational requirements are understood and the IS Steering team or equivalent is informed of the cybersecurity risk.</t>
  </si>
  <si>
    <t>1. 10</t>
  </si>
  <si>
    <t>All information security responsibilities are defined and allocated to the identified personnel within the organization and among the external partners.</t>
  </si>
  <si>
    <t>There is a RACI Matrix in place to hold the IS Organization Structure</t>
  </si>
  <si>
    <t>There is a clear segregation in functions of security group responsible for information security and the IT team which is responsible for the implementation and maintenance of IT Systems.</t>
  </si>
  <si>
    <t xml:space="preserve">Every staff in the organization is made aware of the applicable laws, regulations, and guidelines pertaining to the usage, deployment and access to IT resources. </t>
  </si>
  <si>
    <t>Overall Governance of organization</t>
  </si>
  <si>
    <t>Providing a structure for aligning IT strategy with business strategy and provide management direction for information security</t>
  </si>
  <si>
    <t>The IS steering committee should ensure the alignment of IS strategy to the vision, mission, objectives and goal statements of the organization.</t>
  </si>
  <si>
    <t>Governance structure is identified and the personnel should be communicated their roles and responsibilities for effective governance of information security framework</t>
  </si>
  <si>
    <t xml:space="preserve">The annual budget for information security is approved by the top management. </t>
  </si>
  <si>
    <t>The organization adopts security standards/guidelines as per the requirements of the industry sector, regulatory body or technology requirements</t>
  </si>
  <si>
    <t>Average Raiding</t>
  </si>
  <si>
    <t>Asset Management policy should be established, documented and approved by authorized individuals. The document should be reviewed periodically and updated whenever significant changes occur.</t>
  </si>
  <si>
    <t>Organization should have an Asset Management policy/ procedure defined, approved  by the management</t>
  </si>
  <si>
    <t>Organization should have an Acceptable usage policy/ procedure defined, approved by the management</t>
  </si>
  <si>
    <t>The process of protecting media against unauthorized access, misuse or corruption, damage during transportation has been defined and implemented</t>
  </si>
  <si>
    <t>Inventory of Assets</t>
  </si>
  <si>
    <t>Ensure that all the organizational assets are identified, classified and appropriate level of protection in accordance with its importance to the organization are defined.</t>
  </si>
  <si>
    <t>There is a centralized configuration management system to manage the assets.</t>
  </si>
  <si>
    <t>All physical devices, systems, software platforms and applications within the organization are inventoried.</t>
  </si>
  <si>
    <t>All new assets procured must be approved by an authorized individual.</t>
  </si>
  <si>
    <t>All assets follow the defined asset labelling nomenclature.</t>
  </si>
  <si>
    <t>3. 10</t>
  </si>
  <si>
    <t>Asset owner, custodian and asset ID are determined for all assets.</t>
  </si>
  <si>
    <t>Assets are classified based on their criticality</t>
  </si>
  <si>
    <t>Assets are being used as per the guidelines documented in acceptable usage policy.</t>
  </si>
  <si>
    <t>Asset discovery tool is implemented to identify devices connected to the organization's network and update the hardware asset inventory.</t>
  </si>
  <si>
    <t>Employees, contractors must return all IT and non-IT assets at the time of transfer or exit from the organization.</t>
  </si>
  <si>
    <t>Annual maintenance contract should be maintained for all the assets (wherever applicable) present in the organization.</t>
  </si>
  <si>
    <t>The assets are disposed off as per the defined process</t>
  </si>
  <si>
    <t>Media Handling</t>
  </si>
  <si>
    <t>To prevent unauthorized disclosure, modification, removal or destruction of information storage on media.</t>
  </si>
  <si>
    <t>Auto run option is disabled on machines</t>
  </si>
  <si>
    <t>Partial</t>
  </si>
  <si>
    <t>Backup tapes are stored securely or in a fire proof container</t>
  </si>
  <si>
    <t>All media devices are stored in a safe, secure environment</t>
  </si>
  <si>
    <t>3. 20</t>
  </si>
  <si>
    <t>Access to USB and other media ports should be blocked unless explicitly defined for business use.</t>
  </si>
  <si>
    <t>Tape drives are stored at offsite location in a different seismic zone than the primary location</t>
  </si>
  <si>
    <t>Fire and shock proof case and/ or cabinet are used for movement of tape drives from one location to another.</t>
  </si>
  <si>
    <t>Media which is no longer in use must be disposed off securely by using the following methodologies (not limited to): Sanitization, Degaussing, Destruction.</t>
  </si>
  <si>
    <t>Incident Management policy should be established, documented and approved by authorized individuals. The document should be reviewed periodically and updated whenever significant changes occur.</t>
  </si>
  <si>
    <t>Organization should have an Incident Management policy/ procedure defined, approved by the management</t>
  </si>
  <si>
    <t>There is an incident response team existing within the organization</t>
  </si>
  <si>
    <t>There is an Incident response plan executed during or after an incident and the impact of incident is understood by the Incident Response Team</t>
  </si>
  <si>
    <t>The version control of the documents should be maintained.</t>
  </si>
  <si>
    <t>Roles and Responsibilities</t>
  </si>
  <si>
    <t>The Incident Response/ Incident Handling team is well informed of their roles and responsibilities in order to effectively carry out the process</t>
  </si>
  <si>
    <t>The incident response team/ information security team is trained to timely detect and handle the incident or attacker in case of cyber intrusion</t>
  </si>
  <si>
    <t>The incident response team is able to decide the nature of the incident (specifically cyber security incident)</t>
  </si>
  <si>
    <t>Incident Response and Resolution</t>
  </si>
  <si>
    <t>There should be effective Incident Response strategy to deal with post incident damage handling which if not discovered or detected by the organisation in the first place can lead to serious damage to the organisation.</t>
  </si>
  <si>
    <t>There is a centralised tool to report all the incidents within the organization</t>
  </si>
  <si>
    <t>Not Automated</t>
  </si>
  <si>
    <t>Employees are made aware about the mediums to report information security and cyber security incidents</t>
  </si>
  <si>
    <t>4. 10</t>
  </si>
  <si>
    <t>There is a defined escalation matrix shared with all the stakeholders</t>
  </si>
  <si>
    <t>There is an incident classification matrix depicting the classification of cyber incidents</t>
  </si>
  <si>
    <t>The person raising the incident is informed of the progress of his/ her reported incident</t>
  </si>
  <si>
    <t>Incidents are categorized consistent with response plans and are classified based on the impact of the incident</t>
  </si>
  <si>
    <t>The evidences related to the incident are collected, retained and presented to the relevant stakeholders if/ when required</t>
  </si>
  <si>
    <t>Incidents are resolved within the defined TAT</t>
  </si>
  <si>
    <t>Corrective</t>
  </si>
  <si>
    <t>An information security incident and response register has been established and maintained.  All incidents have been recorded within this register</t>
  </si>
  <si>
    <t>The root cause analysis is done by the incident response team when an incident is reported.</t>
  </si>
  <si>
    <t>Incidents are contained and mitigated in the organization</t>
  </si>
  <si>
    <t>Cyber Incident Response Team (CIRT) should be formed. The CIRT is composed of various members from System, Database, Application, SOC, Network team  business owner, HR, legal, Corp comm, etc. as part of CIRT.</t>
  </si>
  <si>
    <t>4. 20</t>
  </si>
  <si>
    <t>There is an incident trend analysis carried out within the organization</t>
  </si>
  <si>
    <t>Patch Management</t>
  </si>
  <si>
    <t>To ensure critical updates installed (OS, middleware, DB, web-layer, virtualization layer, Network and security devices) in timely manner to patch the critical vulnerabilities</t>
  </si>
  <si>
    <t>Organization should have a patch management policy/ procedure defined and approved by the management</t>
  </si>
  <si>
    <t>Patches are identified for deployment based on their criticality and priority</t>
  </si>
  <si>
    <t>Patches are tested before deployment wherever feasible</t>
  </si>
  <si>
    <t>There is a process defined to push the failed patches on the systems and to track the ageing of failed patches.</t>
  </si>
  <si>
    <t>Only softwares supported by the vendors for security patches are implemented in the organization</t>
  </si>
  <si>
    <t>Antivirus &amp;  Malware Management</t>
  </si>
  <si>
    <t>To ensure that information and information processing facilities are protected against malware</t>
  </si>
  <si>
    <t>There is a defined &amp; documented process for Antivirus management</t>
  </si>
  <si>
    <t>Endpoint systems are scanned at defined frequency for malicious files - (full scan, custom scan)</t>
  </si>
  <si>
    <t>5. 10</t>
  </si>
  <si>
    <t>Antivirus signature definition updation on endpoints and servers are reviewed periodically.</t>
  </si>
  <si>
    <t>MIS reports for compliance  of all IT systems are regularly shared with the business team</t>
  </si>
  <si>
    <t>Organizations has controls in place to prevent malware propagation via the email and web services</t>
  </si>
  <si>
    <t>Backup Management</t>
  </si>
  <si>
    <t>To ensure data loss should be prevented</t>
  </si>
  <si>
    <t>There is a defined &amp; documented process for Backup management</t>
  </si>
  <si>
    <t>Data backups are performed for critical systems as per predefined schedules.</t>
  </si>
  <si>
    <t>Access to backup data is limited to authorized individuals wherever applicable</t>
  </si>
  <si>
    <t>Backup data is encrypted</t>
  </si>
  <si>
    <t>Backup schedules are monitored for failure and the logs are stored centrally</t>
  </si>
  <si>
    <t>5. 20</t>
  </si>
  <si>
    <t>Backups are retained as per the defined policy</t>
  </si>
  <si>
    <t>Backed up data is restored periodically to test the integrity of the backups</t>
  </si>
  <si>
    <t>Backup should be performed with respect to the RPO defined</t>
  </si>
  <si>
    <t>Backed up data is stored at online and offsite locations</t>
  </si>
  <si>
    <t>Change Management</t>
  </si>
  <si>
    <t>To Ensure that all changes to the organization's information processing facilities are controlled</t>
  </si>
  <si>
    <t>There is a defined and documented process for Change management</t>
  </si>
  <si>
    <t>There is a defined process for handling emergency changes</t>
  </si>
  <si>
    <t>Change requests are classified based on their priority.</t>
  </si>
  <si>
    <t>All change requests are logged and tracked.</t>
  </si>
  <si>
    <t>Changes are tested before deployment into production</t>
  </si>
  <si>
    <t>5. 30</t>
  </si>
  <si>
    <t>Changes are deployed in production only post approval from authorized individuals</t>
  </si>
  <si>
    <t>Changes are deployed into production at a defined frequency based on their criticality</t>
  </si>
  <si>
    <t>There is a turn around time defined for closing the changes based on the criticality</t>
  </si>
  <si>
    <t>Roll back procedures are defined for all changes before making changes to production.</t>
  </si>
  <si>
    <t>Audit and Event Logging</t>
  </si>
  <si>
    <t>To ensure sufficient data is available for audit and investigation purposes of all critical events</t>
  </si>
  <si>
    <t>There is a formally defined and documented procedure for log management</t>
  </si>
  <si>
    <t>Logging is enabled for all administrative activities</t>
  </si>
  <si>
    <t>Event logging should be enabled for all systems</t>
  </si>
  <si>
    <t>Level of logging is defined for all the log sources</t>
  </si>
  <si>
    <t>Log data is centrally stored, backed up and retained for a defined time period</t>
  </si>
  <si>
    <t>5. 40</t>
  </si>
  <si>
    <t>Security logging should be enabled for all critical infrastructure as per the policy/ procedure.</t>
  </si>
  <si>
    <t>Critical infrastructure devices are integrated with SIEM for log correlation and alerting</t>
  </si>
  <si>
    <t>All critical devices are integrated with the same NTP for clock synchronization and time stamp consistency</t>
  </si>
  <si>
    <t>Secure Configuration &amp; Design</t>
  </si>
  <si>
    <t>To ensure security is considered in the configuration and deployment of network devices</t>
  </si>
  <si>
    <t>There is a configuration hardening process document defined for all critical infrastructure systems</t>
  </si>
  <si>
    <t>The hardening document is updated and reviewed at periodic intervals</t>
  </si>
  <si>
    <t>The configuration of all infrastructure devices are hardened before deployment in production</t>
  </si>
  <si>
    <t>The development, test &amp; production environments are logically segregated</t>
  </si>
  <si>
    <t>There is segregation of duties wherein developers do not have access to the QA &amp;  production environment</t>
  </si>
  <si>
    <t>CIS benchmark are followed for hardening templates.</t>
  </si>
  <si>
    <t>System architecture is designed and implemented securely</t>
  </si>
  <si>
    <t>5. 50</t>
  </si>
  <si>
    <t>Configuration of infrastructure devices is reviewed periodically for compliance to the hardening guideline</t>
  </si>
  <si>
    <t>Capacity Management</t>
  </si>
  <si>
    <t>To ensure use of resources should be monitored, tuned and projections made of future capacity requirements
to ensure the required system performance</t>
  </si>
  <si>
    <t>There is a defined and documented policy for capacity management</t>
  </si>
  <si>
    <t>There is continuous monitoring of the resource utilization of systems</t>
  </si>
  <si>
    <t>There are thresholds defined for acceptable utilization of system resources</t>
  </si>
  <si>
    <t>Reports of capacity utilization should be analyzed, actions needed to be taken and should be communicated to the senior management</t>
  </si>
  <si>
    <t>Database Security</t>
  </si>
  <si>
    <t>To ensure that there are effective measures defined and implemented  to protect and secure the database.</t>
  </si>
  <si>
    <t>There is a defined and documented process for database security management</t>
  </si>
  <si>
    <t>Access to database should be given based on the principle of least privilege</t>
  </si>
  <si>
    <t>The access to database/ tables is restricted to authorized individuals</t>
  </si>
  <si>
    <t>5. 60</t>
  </si>
  <si>
    <t>The privileged access rights associated with the database management system is identified</t>
  </si>
  <si>
    <t>There is a continuous logging and monitoring of activities performed using privileged IDs</t>
  </si>
  <si>
    <t>There are no test/ unused default accounts present in the production database</t>
  </si>
  <si>
    <t>There is a minimum baseline for secure configuration of databases</t>
  </si>
  <si>
    <t>There are adequate password parameters on the database as per the defined password policy of the organization</t>
  </si>
  <si>
    <t>The PII and SPI data stored in the database is encrypted</t>
  </si>
  <si>
    <t>The changes in the database is logged and should be performed by authorized individuals only</t>
  </si>
  <si>
    <t>Database backups are performed for critical systems as per predefined schedules.</t>
  </si>
  <si>
    <t>Data Security</t>
  </si>
  <si>
    <t>To ensure controls are in place to identify &amp; protect critical business data and to prevent its unauthorized exfiltration</t>
  </si>
  <si>
    <t>There is a defined and documented process for managing data security in organization</t>
  </si>
  <si>
    <t>5. 70</t>
  </si>
  <si>
    <t>Data flow analysis or equivalent process is performed for identification of critical data</t>
  </si>
  <si>
    <t>There is a defined process to classify data based on its criticality and confidentiality.</t>
  </si>
  <si>
    <t>Controls are implemented to prevent unauthorized exfiltration of confidential data out of the organization</t>
  </si>
  <si>
    <t>Sensitive files are watermarked  with users’ usernames, timestamps &amp; disclaimer</t>
  </si>
  <si>
    <t>Rules configured on DLP for identification of critical business data should be periodically reviewed for completeness and reduction of false positives</t>
  </si>
  <si>
    <t>Virtualization Security</t>
  </si>
  <si>
    <t>To ensure that there are effective measures in place for protection of a virtualization environment</t>
  </si>
  <si>
    <t>Only authorized administrative personnel should have physical access to the host system to prevent unauthorized changes.</t>
  </si>
  <si>
    <t>Set limits on the use of resources (e.g., processors, memory, disk space, virtual network interfaces) by each VM, to prevent a single VM from monopolizing resources on a system.</t>
  </si>
  <si>
    <t>Ensure that host and guests use synchronized time</t>
  </si>
  <si>
    <t xml:space="preserve">Host OS must be patched regularly and in a timely fashion to ensure that the host OS is protecting the system and guest OSs properly. </t>
  </si>
  <si>
    <t>Host OS should be hardened as per the hardening guidelines</t>
  </si>
  <si>
    <t>5. 80</t>
  </si>
  <si>
    <t>Logging should be enabled on all host and VMs. Also logs should be retained as per the retention policy</t>
  </si>
  <si>
    <t>All hosts must be integrated with central log management</t>
  </si>
  <si>
    <t>Role based access should be provided for management of host and VMs.</t>
  </si>
  <si>
    <t>Vulnerability Assessment should be performed and identified gaps should be remediated before on-boarding in production</t>
  </si>
  <si>
    <t>There is authorized and hardened OS image deployed on all systems(server)</t>
  </si>
  <si>
    <t>Clipboard access from VM to local machine should be disabled</t>
  </si>
  <si>
    <t>All changes made to host and VMs should be carried out as per the change management policy</t>
  </si>
  <si>
    <t>File sharing between host and guest OS should be disabled</t>
  </si>
  <si>
    <t>Email Security</t>
  </si>
  <si>
    <t>To ensure that there are effective controls in place for protection data getting exfilitrated through email</t>
  </si>
  <si>
    <t xml:space="preserve">Anti-spam related controls such as spam filtering, spoofing detection software should be implemented </t>
  </si>
  <si>
    <t xml:space="preserve">Emails are retained post separation as per the defined frequency in the policy/ procedure. </t>
  </si>
  <si>
    <t>5. 90</t>
  </si>
  <si>
    <t>Appropriate controls are implemented for email relay server to restrict unauthorized usage.</t>
  </si>
  <si>
    <t>OWA controls are implemented such as MFA, conditional access for O365 and on premise.</t>
  </si>
  <si>
    <t>MFA is implemented for email (both for webmail and Mobile email service)</t>
  </si>
  <si>
    <t>DMARC/ Anti-spoofing related controls should be implemented in email security</t>
  </si>
  <si>
    <t>Policy &amp; Procedure</t>
  </si>
  <si>
    <t>Policy is present to define the organizations security controls and to formalize the governance of the emerging technologies</t>
  </si>
  <si>
    <t>There a defined process of identifying and implementing emerging technologies</t>
  </si>
  <si>
    <t>Ideation</t>
  </si>
  <si>
    <t>There is a defined process to establish consistency and security in the overall design and ideation of the emerging technologies</t>
  </si>
  <si>
    <t>Identified technologies are reviewed for their relevance</t>
  </si>
  <si>
    <t>Authorization is acquired from the management for pursuing solution from emerging technologies</t>
  </si>
  <si>
    <t>The approach is documented to track requirements and log outcomes of brainstorming sessions</t>
  </si>
  <si>
    <t>Secure Development</t>
  </si>
  <si>
    <t>There is a defined process to ensure secure development practices in the implementation and development of emerging technologies</t>
  </si>
  <si>
    <t>All requirements pertaining to the technology are documented and approved</t>
  </si>
  <si>
    <t>All individuals related to the project are aware of their roles and responsibilities</t>
  </si>
  <si>
    <t>There is robust mechanism to understand and capture data and insights for end users</t>
  </si>
  <si>
    <t>9. 10</t>
  </si>
  <si>
    <t>Security and privacy is built into each stage of the design</t>
  </si>
  <si>
    <t>All IP's &amp; contracts are reviewed and corroborated</t>
  </si>
  <si>
    <t>There are steps employed to review the risk exposure at each stage.</t>
  </si>
  <si>
    <t>Single point failures and redundancy requirements are addressed in the overall architecture and design</t>
  </si>
  <si>
    <t>Secure Maintenance</t>
  </si>
  <si>
    <t>There is a defined process to ensure secure maintainance in the daily operation of the emerging technologies</t>
  </si>
  <si>
    <t>Access to information systems and services should be granted only post authorised approvals</t>
  </si>
  <si>
    <t>All privilege activities are logged, monitored and timely reviewed</t>
  </si>
  <si>
    <t>Accesses are revoked when no longer necessary for performing tasks</t>
  </si>
  <si>
    <t>Configurations are stored securely and backed up in a timely manner</t>
  </si>
  <si>
    <t>Access to the configuration backup is limited to authorized individuals</t>
  </si>
  <si>
    <t xml:space="preserve"> The technology implemented is reviewed for its compliance to the defined secure configuration guidelines. </t>
  </si>
  <si>
    <t>9. 20</t>
  </si>
  <si>
    <t>The technology components are patched parodically to prevent vulnerabilities</t>
  </si>
  <si>
    <t>Configuration changes are made only post authorized approvals</t>
  </si>
  <si>
    <t>Wherever feasible changes are tested before deployment in production</t>
  </si>
  <si>
    <t>The logs of the the devices are centrally stored and parodically monitored for malicious activity</t>
  </si>
  <si>
    <t>The logs are stored for a minimum period of 6 months or more depending on any regulatory or contractual requirement</t>
  </si>
  <si>
    <t>The technical components are regularly monitored for their resource utilization and acted upon.</t>
  </si>
  <si>
    <t>Formal  policies, procedures and controls shall be in place to protect the organizations network including critical data &amp; all types of communication facilities.</t>
  </si>
  <si>
    <t>Organization should have a network security policy/ procedure defined and approved by the management.</t>
  </si>
  <si>
    <t>There is a documented and approved high level and low level network architecture diagram</t>
  </si>
  <si>
    <t>Security tools</t>
  </si>
  <si>
    <t>Ensure sufficient technological and process  checks are employed to monitor the Network</t>
  </si>
  <si>
    <t>The organization has a firewall or equivalent in place to protect the internal network and devices against unauthorized access</t>
  </si>
  <si>
    <t>Network devices are AAA authenticated</t>
  </si>
  <si>
    <t>Organization has controls in place for monitoring network activity</t>
  </si>
  <si>
    <t>Organization has systems or modules in place for intrusion prevention/ detection</t>
  </si>
  <si>
    <t>Preventive/Detective</t>
  </si>
  <si>
    <t>Organization has controls in place to ensure secure remote access to the network and its resources</t>
  </si>
  <si>
    <t>10. 10</t>
  </si>
  <si>
    <t>Organization has controls in place for detecting denial of service attacks</t>
  </si>
  <si>
    <t>Rules and policies are configured on network devices only post authorized approvals &amp; testing</t>
  </si>
  <si>
    <t>Encrypted non-console administrative access using technologies such as Secure Shell (SSH), Virtual Private Network (VPN), or Secure Sockets Layer (SSL)/ Transport Layer Security (TLS) for Web-based management and other non-console administrative access should be implemented</t>
  </si>
  <si>
    <t>Rules and policies configured on the network &amp; security devices are reviewed periodically for their relevance &amp; utilization by authorized individuals</t>
  </si>
  <si>
    <t>Advance threat protection solution should be implemented that defend against malware or hacking based attacks</t>
  </si>
  <si>
    <t>Network &amp; security devices are regularly patched for the latest security updates</t>
  </si>
  <si>
    <t>Ports &amp; Services</t>
  </si>
  <si>
    <t>To ensure security in all network services utilized within the organizations environment</t>
  </si>
  <si>
    <t>Unapproved or vulnerable services and ports should be blocked at the gateway firewall</t>
  </si>
  <si>
    <t>Telnet services are disabled</t>
  </si>
  <si>
    <t>Secure shell (SSH) is used to access the network devices  only from privileged user system.</t>
  </si>
  <si>
    <t>10. 20</t>
  </si>
  <si>
    <t>Secure SNMPv3 is used for monitoring and alerting of network &amp; security devices</t>
  </si>
  <si>
    <t>Local accounts that are not being utilized are disabled or removed</t>
  </si>
  <si>
    <t>Firewall is configured with a policy that all services are denied unless explicitly permitted by the network admin or any administrative authorized user</t>
  </si>
  <si>
    <t>Services and applications that are not being utilized are disabled or removed</t>
  </si>
  <si>
    <t>Port scanning is conducted in the network to identify vulnerable ports &amp; services</t>
  </si>
  <si>
    <t>Network Design</t>
  </si>
  <si>
    <t>To ensure security in the design and implementation of the  network architecture</t>
  </si>
  <si>
    <t>Segregation of network is implemented to isolate critical infrastructure environment from the end user network</t>
  </si>
  <si>
    <t>There is a DMZ to isolate public facing resources from the internal network of the organization</t>
  </si>
  <si>
    <t>The organization has SSL signed certificate installed for services hosted over the public network</t>
  </si>
  <si>
    <t>Split tunneling to allow local internet access on remote hosts should be prohibited.</t>
  </si>
  <si>
    <t>10. 30</t>
  </si>
  <si>
    <t>Password are implemented as per the policy/ procedure.</t>
  </si>
  <si>
    <t>Internal addresses are masked from exposure on the internet as necessitated by the risk and complexity of the system</t>
  </si>
  <si>
    <t>The network is setup to prevent single point failures of critical network segments</t>
  </si>
  <si>
    <t>Audit Logging</t>
  </si>
  <si>
    <t>To ensure sufficient data is available for audit and investigative purposes of all critical event</t>
  </si>
  <si>
    <t>There is a formally approved and documented procedure for log management</t>
  </si>
  <si>
    <t>The document is reviewed and updated periodically</t>
  </si>
  <si>
    <t>Log data is centrally stored, backed up  and retained as per the policy defined</t>
  </si>
  <si>
    <t>The organization monitors and reviews  the activities of the privilege users on regular basis</t>
  </si>
  <si>
    <t>Successful/failed attempts to establish a network connection are logged</t>
  </si>
  <si>
    <t>Critical network devices are integrated with SIEM for log correlation and alerting</t>
  </si>
  <si>
    <t>10. 40</t>
  </si>
  <si>
    <t>All network &amp; security devices are integrated with the same NTP for clock synchronization and time stamp consistency</t>
  </si>
  <si>
    <t>Hardening</t>
  </si>
  <si>
    <t>There is a configuration hardening process document defined for all critical network devices</t>
  </si>
  <si>
    <t>The configuration of all network devices are hardened before deployment in production</t>
  </si>
  <si>
    <t>Configuration of network devices is reviewed periodically for compliance to the hardening guideline</t>
  </si>
  <si>
    <t>To ensure critical updates installed  in timely manner to patch the critical vulnerabilities</t>
  </si>
  <si>
    <t>There is a defined &amp; documented process for patch management</t>
  </si>
  <si>
    <t>The document is reviewed and updated as per the defined frequency</t>
  </si>
  <si>
    <t>10. 50</t>
  </si>
  <si>
    <t>Preventive &amp; Detective</t>
  </si>
  <si>
    <t>Patches are deployed at a defined frequency based on their criticality</t>
  </si>
  <si>
    <t>To ensure data loss should be protected</t>
  </si>
  <si>
    <t>The document is reviewed and updated at a defined frequency</t>
  </si>
  <si>
    <t>Configuration backups are performed for as per the predefined schedules.</t>
  </si>
  <si>
    <t>Backed up data is stored at onsite and offsite locations</t>
  </si>
  <si>
    <t>There is a defined &amp; documented process for Change management</t>
  </si>
  <si>
    <t>The emergency changes are handled as per the organization's defined process</t>
  </si>
  <si>
    <t>10. 60</t>
  </si>
  <si>
    <t>Changes are deployed into production at a defined frequency based on their classification</t>
  </si>
  <si>
    <t>The change implementer is aware of defined procedures to be followed in case of change/ modification to the network architecture or network connectivity</t>
  </si>
  <si>
    <t>Roll back procedures are defined for all changes before deployment into production.</t>
  </si>
  <si>
    <t>All configuration changes on the network and security devices are logged and tracked.</t>
  </si>
  <si>
    <t>Vulnerability Management</t>
  </si>
  <si>
    <t>To ensure vulnerabilities in all tools are patched and resolved to prevent exploitation by malicious sources</t>
  </si>
  <si>
    <t>There is a defined &amp; documented process for Vulnerability management</t>
  </si>
  <si>
    <t>All assets are scanned periodically for system vulnerabilities</t>
  </si>
  <si>
    <t>10. 70</t>
  </si>
  <si>
    <t>There is a dedicated account for authenticated vulnerability scans, which is not used for any other administrative activities nor  tied to specific machines at specific IP addresses.</t>
  </si>
  <si>
    <t>Vulnerabilities are classified based on their criticality</t>
  </si>
  <si>
    <t>Vulnerabilities assessment is performed before going live.</t>
  </si>
  <si>
    <t>Vulnerabilities are resolved within a defined frequency based on their criticality</t>
  </si>
  <si>
    <t>Wireless Security</t>
  </si>
  <si>
    <t>Ensure that each wireless device that connects to the network is permitted to do so based on a legitimate business requirement. Also, access to wireless devices such as Bluetooth must be restricted.</t>
  </si>
  <si>
    <t>Wireless devices that connect to the network are permitted to connect to the internet based on a legitimate business requirement</t>
  </si>
  <si>
    <t>There is a Wireless Intrusion Prevention System (WIPS) to identify unauthorized wireless devices, detect attacks, and detect successful compromises</t>
  </si>
  <si>
    <t>Wireless access on systems that do not have a legitimate business requirement is disabled</t>
  </si>
  <si>
    <t>All traffic that flows across the wireless network is protected by Advanced Encryption Standard (AES) encryption and Wi-Fi Protected Access 2 (WPA2) protection</t>
  </si>
  <si>
    <t xml:space="preserve">MAC-based controls are implemented for all devices. MAC binding is performed </t>
  </si>
  <si>
    <t xml:space="preserve">Guest wireless network are segregated from production/ corporate network </t>
  </si>
  <si>
    <t xml:space="preserve">Every guest users have separate login credentials and access are provided on a time basis </t>
  </si>
  <si>
    <t xml:space="preserve">Browsing logs are maintained for all guest users </t>
  </si>
  <si>
    <t>10. 80</t>
  </si>
  <si>
    <t>Wireless networks use secure authentication protocols such as Extensible Authentication Protocol-Transport Layer Security (EAP/TLS)</t>
  </si>
  <si>
    <t>Access to Network and Network devices</t>
  </si>
  <si>
    <t>Organization should have a formal procedure for granting/ revoking and reviewing the access rights to network and network devices</t>
  </si>
  <si>
    <t>Controls are in place to prevent unauthorized inbound and outbound access to a network that transmits Institutional Data (e.g. firewalls, proxies, access control lists, etc.)</t>
  </si>
  <si>
    <t>Partially Monitored &amp; Reviewed</t>
  </si>
  <si>
    <t>The organization has adequate access controls to protect the network from unauthorized access</t>
  </si>
  <si>
    <t>Remote Access</t>
  </si>
  <si>
    <t>To ensure controls are in place to securely access organizations network resources</t>
  </si>
  <si>
    <t>VPN access is allowed to systems that had latest antivirus software and personal firewall</t>
  </si>
  <si>
    <t>All VPN connections require authentication.</t>
  </si>
  <si>
    <t>Logging enabled and auditing performed on a regular basis in order to detect possible attacks.</t>
  </si>
  <si>
    <t>Establish user and administrator security training requirements.</t>
  </si>
  <si>
    <t>Access privileges granted on as-needed basis.</t>
  </si>
  <si>
    <t>Remote access computers physically secure.</t>
  </si>
  <si>
    <t>Use strong industry proven encryption with sufficient key strength to protect confidentiality.</t>
  </si>
  <si>
    <t>10. 90</t>
  </si>
  <si>
    <t>Host posture check is performed for all system accessing through VPN</t>
  </si>
  <si>
    <t>The user has multi factor authentication mechanism for remote access to devices through VPN</t>
  </si>
  <si>
    <t>Acceptable usage policy should be established, documented and approved by authorized individuals. The document should be reviewed periodically and updated whenever significant changes occur.</t>
  </si>
  <si>
    <t>Organization should have an endpoint protection policy/ procedure defined and approved by the management.</t>
  </si>
  <si>
    <t>Endpoint Controls</t>
  </si>
  <si>
    <t>To ensure that controls are effectively enforced consistently across all the endpoints.</t>
  </si>
  <si>
    <t>There is a consolidated inventory of all endpoints.</t>
  </si>
  <si>
    <t>There is a defined list of applications which are installed on the endpoints</t>
  </si>
  <si>
    <t>There is authorized and hardened OS image deployed on all endpoints</t>
  </si>
  <si>
    <t>Endpoints are secured with organizations approved GPO policies</t>
  </si>
  <si>
    <t>Endpoint system screens are locked when left unattended</t>
  </si>
  <si>
    <t>Administrative rights on endpoints is limited to authorized individuals</t>
  </si>
  <si>
    <t>11. 10</t>
  </si>
  <si>
    <t>There are proper approvals taken if any software is downloaded and installed which is not from the whitelisted list of softwares.</t>
  </si>
  <si>
    <t>Endpoint hard disks are encrypted</t>
  </si>
  <si>
    <t>Access to malicious websites is prevented</t>
  </si>
  <si>
    <t>There is a process defined, documented and implemented for the backup management at the endpoint</t>
  </si>
  <si>
    <t>OS deployed at the endpoint system are upgraded on the periodic basis</t>
  </si>
  <si>
    <t>Indicators of compromise (IOC) should be blocked periodically as a practice for  Antivirus , proxy, DLP etc.</t>
  </si>
  <si>
    <t>User utility applications installed on endpoints are regularly updated.</t>
  </si>
  <si>
    <t>Password management processes should be implemented as per the defined Password management policy</t>
  </si>
  <si>
    <t>Operating System Security</t>
  </si>
  <si>
    <t>Management should ensure that the operating system is implemented and maintained</t>
  </si>
  <si>
    <t>The owner has documented security settings of the OS in Secure Configuration Document</t>
  </si>
  <si>
    <t>The organization has defined standard naming conventions for assigning host names at OS level</t>
  </si>
  <si>
    <t>11. 20</t>
  </si>
  <si>
    <t>The access to the operating systems is based on the principle of least privilege  commensurate with the job responsibilities.</t>
  </si>
  <si>
    <t>The organization has audit logs enabled to track all critical activities in OS</t>
  </si>
  <si>
    <t>To ensure controls are deployed to securely access the network resources remotely via mobile devices</t>
  </si>
  <si>
    <t xml:space="preserve">Organization implements VPN software for handheld devices, for remote network connections. </t>
  </si>
  <si>
    <t>VPN software uses secure connection such as SSL.</t>
  </si>
  <si>
    <t>VPN access is allowed to systems that implement latest antivirus software and personal firewall</t>
  </si>
  <si>
    <t>There is a defined process to revoke VPN access whenever required</t>
  </si>
  <si>
    <t>There is a two factor authentication process for remote access.</t>
  </si>
  <si>
    <t>Device-to-computer or device-to–network synchronization occurs locally or via a secure connection</t>
  </si>
  <si>
    <t>BYOD</t>
  </si>
  <si>
    <t>To ensure controls are deployed to securely access organizations information via BYOD devices</t>
  </si>
  <si>
    <t>The organization must have a BYOD (Bring Your Own Device) policy/ procedure document.</t>
  </si>
  <si>
    <t>Approvals are taken and documented prior accessing organization's data and/ or network</t>
  </si>
  <si>
    <t>11. 30</t>
  </si>
  <si>
    <t xml:space="preserve">Approved non-organization devices will have:
1. Operating systems that are current in release
2. Disabled unwanted services
3. Default administrator access shut off
4. Security patches updated in a timely manner </t>
  </si>
  <si>
    <t>All non-organizations computers and systems on which end user maintain organization's data will be protected by acceptable industry practices for antivirus, firewalls, network and system intrusion detections systems.  </t>
  </si>
  <si>
    <t>Access to organization's data and/ or network are provided on the need to know basis.</t>
  </si>
  <si>
    <t>To ensure critical updates installed in timely manner to patch the vulnerabilities</t>
  </si>
  <si>
    <t>11. 40</t>
  </si>
  <si>
    <t>Antivirus logs are shared with SIEM for correlation</t>
  </si>
  <si>
    <t>Human Resource security policy should be established, documented and approved by authorized individuals. The document should be reviewed periodically and updated whenever significant changes occur.</t>
  </si>
  <si>
    <t>Organization should have a Human Resource security policy/ procedure document defined and approved by the management.</t>
  </si>
  <si>
    <t>The document is reviewed, updated and approved as per the defined frequency in the policy/ procedure.</t>
  </si>
  <si>
    <t>Recruitment</t>
  </si>
  <si>
    <t xml:space="preserve">Ensure that employees and contractors understand their roles &amp; responsibilities and the organization's expectations. </t>
  </si>
  <si>
    <t>Background verification checks are performed for all employees or contractors hired for organization's processes/ operations</t>
  </si>
  <si>
    <t>Approval of any exception to the background checks must  be taken by business function head and HR head at the organization</t>
  </si>
  <si>
    <t>Non-disclosure/ confidentiality agreements/ compliance with code of conduct must be signed by all employees/contractors during on-boarding</t>
  </si>
  <si>
    <t>The terms and conditions of employment include the employees/contractors responsibilities for information security as laid down by organization's information security policy</t>
  </si>
  <si>
    <t>Roles and responsibilities of employees and external parties (contractors and third party users) are defined.</t>
  </si>
  <si>
    <t>A disciplinary action is formally defined and communicated to all the employees/ contractors for the personnel not complying to organization's information security policy</t>
  </si>
  <si>
    <t>12. 10</t>
  </si>
  <si>
    <t>Termination process</t>
  </si>
  <si>
    <t>To ensure there is  defined process to be adhered for termination of employees/contractors</t>
  </si>
  <si>
    <t>There is a defined process for termination of employees</t>
  </si>
  <si>
    <t>The HR verifies completion of exit checklist before the transfer or termination of any employee or contractor.</t>
  </si>
  <si>
    <t>Security Awareness</t>
  </si>
  <si>
    <t>To ensure that employees and contractors are aware of and fulfil the expected information security responsibilities within the organization.</t>
  </si>
  <si>
    <t>InfoSec Awareness training provided to employees/contractors supporting organization's operations must include at minimum organization's defined information security, privacy and third party security guidelines</t>
  </si>
  <si>
    <t xml:space="preserve">Information security training should be conducted annually for all employees </t>
  </si>
  <si>
    <t>Training acknowledgement records/attendance register are maintained for Information Security trainings conducted</t>
  </si>
  <si>
    <t>Application security policy should be established, documented and approved by authorized individuals. The document should be reviewed periodically and updated whenever significant changes occur.</t>
  </si>
  <si>
    <t>Organization should have a Application security policy/ procedure document defined and approved by the management.</t>
  </si>
  <si>
    <t>Access Control</t>
  </si>
  <si>
    <t>Information involved in application services passing over public networks should be protected from fraudulent activity, contract dispute and unauthorized disclosure and modification.</t>
  </si>
  <si>
    <t>Access to information and application system functions is restricted in accordance with the access control policy for applications.</t>
  </si>
  <si>
    <t>Password management systems shall be interactive and shall ensure quality passwords. For example- Passwords should be alpha numeric, minimum 8 characters and should not include dictionary words.</t>
  </si>
  <si>
    <t xml:space="preserve">The use of privileged utility programs that might be capable of overriding system and application controls shall be restricted and tightly controlled </t>
  </si>
  <si>
    <t>Development, test and/or custom application accounts, user IDs, and passwords are removed before applications become active or are released to customers.</t>
  </si>
  <si>
    <t>Access to program source code is restricted and is accessible only to authorized individuals.</t>
  </si>
  <si>
    <t>Multi Factor authentication should be implemented for all the critical applications</t>
  </si>
  <si>
    <t>13. 10</t>
  </si>
  <si>
    <t>Secure authentication and logging to the applications is enabled</t>
  </si>
  <si>
    <t>Secure Management</t>
  </si>
  <si>
    <t>There is a  defined set of rules/procedures applied to manage the applications within the organization</t>
  </si>
  <si>
    <t>The vulnerability assessment and penetration testing of the applications is conducted periodically as per the frequency defined in the vulnerability lifecycle management procedure.</t>
  </si>
  <si>
    <t>Vulnerabilities identified are closed based on their criticality as per the defined frequency</t>
  </si>
  <si>
    <t>There is a defined process to identify security vulnerabilities, using reputable outside sources for security vulnerability information, and assign a risk ranking (for example, as “high,” “medium,” or “low”) to newly discovered security vulnerabilities.</t>
  </si>
  <si>
    <t>There is a defined frequency for deployment of patches (especially critical patches) and the systems/applications are tracked to keep them up to date.</t>
  </si>
  <si>
    <t>All the applicable patches are installed on the system components and softwares.</t>
  </si>
  <si>
    <t>There is a separate development, test and production environments for the applications and the separation is enforced with access controls.</t>
  </si>
  <si>
    <t>Developers do not have access to production environments</t>
  </si>
  <si>
    <t>There is a segregation of duties between development, test and production users and the rights are reviewed as per the frequency defined in the access control policy.</t>
  </si>
  <si>
    <t>Secure Coding</t>
  </si>
  <si>
    <t>To ensure secure coding practices are adopted throughout the software development lifecycle</t>
  </si>
  <si>
    <t>Secure coding guidelines which include OWASP Top 10 vulnerabilities  are defined, approved, implemented and reviewed by authorized personnel</t>
  </si>
  <si>
    <t>13. 20</t>
  </si>
  <si>
    <t>The custom code is reviewed prior to release to production or customers from security point of view as well</t>
  </si>
  <si>
    <t>The code repository is securely handled by authorized personnel only</t>
  </si>
  <si>
    <t>User access to the code repository should be reviewed periodically as per the frequency defined in the secure coding guidelines.</t>
  </si>
  <si>
    <t>Thick Client based application</t>
  </si>
  <si>
    <t>To ensure controls are employed to incorporate security parameters in the operation and maintenance of thick client applications</t>
  </si>
  <si>
    <t>The authentication-related functionality implemented within the
application including registration, login, password change and account recovery functionality are being tested periodically</t>
  </si>
  <si>
    <t>The mechanisms used for managing sessions and state including testing for insecure token generation and unsafe handling of tokens is being handled periodically</t>
  </si>
  <si>
    <t>The implementation of access controls for defects leading to horizontal and vertical privilege escalation is being tested periodically</t>
  </si>
  <si>
    <t>The testing of input-based vulnerabilities is being done periodically</t>
  </si>
  <si>
    <t>Sensitive data stored on files and registries like username, password, database credentials, license details etc. are being tested periodically</t>
  </si>
  <si>
    <t>Requests and response modifications that are carried out during processing/ validations at the client side is tested periodically</t>
  </si>
  <si>
    <t>There is no sensitive business logic, secret keys or other proprietary information in client side code.</t>
  </si>
  <si>
    <t>13. 30</t>
  </si>
  <si>
    <t>Architecture, Design and Threat modelling</t>
  </si>
  <si>
    <t>To ensure secure design &amp; implementation practices are adopted for applications moved to production</t>
  </si>
  <si>
    <t>All the application components are identified and defined in terms of the business functions and/or security functions they provide.</t>
  </si>
  <si>
    <t>All application components, such as libraries, modules, and external systems, that are not part of the application but that the application relies on to operate are identified.</t>
  </si>
  <si>
    <t>Third party API testing should be conducted periodically</t>
  </si>
  <si>
    <t>There is a well defined, reviewed and approved high level architecture for the applications</t>
  </si>
  <si>
    <t>In case payment data is captured the organization should undergo PCI DSS audit</t>
  </si>
  <si>
    <t>There is a threat model produced for the applications being tested for security</t>
  </si>
  <si>
    <t>Application security of mobile applications</t>
  </si>
  <si>
    <t>To ensure controls are employed to incorporate security parameters in the operation and maintenance of  mobile applications</t>
  </si>
  <si>
    <t>The mobile app does not store sensitive data onto potentially unencrypted shared resources on the device (e.g. SD card or shared folders).</t>
  </si>
  <si>
    <t>The sensitive data is not stored unprotected on the device, even in system protected areas such as key chains.</t>
  </si>
  <si>
    <t>The ID values stored on the device and retrievable by other applications, such as the UDID or IMEI number are not used as authentication tokens.</t>
  </si>
  <si>
    <t>Secret keys, API tokens, or passwords are dynamically generated in mobile applications</t>
  </si>
  <si>
    <t>13. 40</t>
  </si>
  <si>
    <t>The mobile app prevents leaking of sensitive information (for example, screenshots are saved of the current application as the application is back grounded or writing sensitive information in console).</t>
  </si>
  <si>
    <t>The application is requesting minimal permissions for required functionality and resources.</t>
  </si>
  <si>
    <t>There are anti-debugging techniques present that are sufficient enough to deter or delay likely attackers from injecting debuggers into the mobile app (For example GDB).</t>
  </si>
  <si>
    <t>The application does not export sensitive activities, intents, content providers etc., for other mobile apps on the same device to exploit.</t>
  </si>
  <si>
    <t>For mobile application development OWASP Top 10 vulnerabilities are defined, approved, implemented, and reviewed by authorized personnel</t>
  </si>
  <si>
    <t>There is a application security testing is performed for the mobile devices periodically</t>
  </si>
  <si>
    <t>15. 20</t>
  </si>
  <si>
    <t>Policies and procedures</t>
  </si>
  <si>
    <t>Risk Management Process is defined to manage risks to the business. It should include guidelines for risk acceptance criteria, assignment of ownership, risk assessment, risk treatment/remediation, risk acceptance, measurement and monitoring of risks.</t>
  </si>
  <si>
    <t>Organization should have a Risk Management policy/ procedure defined and approved by the management.</t>
  </si>
  <si>
    <t>Risk Assessment</t>
  </si>
  <si>
    <t>Risk assessment (asset based/ risk based) should be done by the organization on a periodic basis in order to identify the existing risks in the organization.</t>
  </si>
  <si>
    <t>Organization has established monitoring practices to identify risks .</t>
  </si>
  <si>
    <t>The risk assessment should be conducted as per the frequency defined in the risk management procedure of the organization</t>
  </si>
  <si>
    <t xml:space="preserve">Risk Assessment is performed and approved periodically to identify, quantify and prioritize the threats to the information/ information assets used for supporting critical processes/ operations.
</t>
  </si>
  <si>
    <t>Risk Assessment is performed and approved periodically for Internal and external resources (All Assets including people, process and technology)</t>
  </si>
  <si>
    <t xml:space="preserve">Ensure all threats to the information assets used for supporting critical business processes have been identified </t>
  </si>
  <si>
    <t xml:space="preserve">The results of risk assessment should be communicated to appropriate personnel and information security team. </t>
  </si>
  <si>
    <t>15. 10</t>
  </si>
  <si>
    <t>Risk assessment report is presented to senior management.</t>
  </si>
  <si>
    <t>There is a frequency defined for reviewing and updating the accepted risks and the results of accepted risks must be communicated to the management.</t>
  </si>
  <si>
    <t xml:space="preserve">A risk register is maintained and reviewed on a periodic basis. </t>
  </si>
  <si>
    <t>Risk Calculation</t>
  </si>
  <si>
    <t>Risk calculation should be done based on the impact, likelihood and criticality of risk. The same should be approved by the management.</t>
  </si>
  <si>
    <t>There is a defined process for calculation of risk in the risk management procedure and its Implementation</t>
  </si>
  <si>
    <t>The process is reviewed and approved by an authorized personnel</t>
  </si>
  <si>
    <t>All the exceptions(risk acceptances and residual risks/output of risk assessment)  are assessed for the Identified risks and reviewed by an authorized personnel</t>
  </si>
  <si>
    <t>An approval mechanism is defined in the risk management procedure for approving security exception requests</t>
  </si>
  <si>
    <t>Risk Treatment</t>
  </si>
  <si>
    <t>Risk treatment should be done in order to mitigate/ accept/ transfer the risks identified in the risk assessment process.</t>
  </si>
  <si>
    <t>Information security risk treatment options should be selected taking account of the risk assessment results.</t>
  </si>
  <si>
    <t>Risks identified during assessment are prioritized for treatment based on their criticality</t>
  </si>
  <si>
    <t>The results of risk assessment should be treated within a defined Turn Around Time (TAT) as per the TAT mentioned in the risk management document</t>
  </si>
  <si>
    <t>Risk owners are identified and the list is reviewed and approved by the top management</t>
  </si>
  <si>
    <t>Risk prioritization is performed by an authorized personnel and the risks should be treated based on the priority by the risk owners.</t>
  </si>
  <si>
    <t>Risk owner's approval on the information security risk treatment plan and acceptance or transfer of the residual information security risks should be obtained</t>
  </si>
  <si>
    <t>Business Continuity and Disaster Recovery Plans should be established, documented and approved by authorized individuals. The document should be reviewed periodically and updated whenever significant changes occur.</t>
  </si>
  <si>
    <t>Organization should have a Business Continuity/ Disaster Recovery policy and Cyber crisis management plan document defined and approved by the management.</t>
  </si>
  <si>
    <t>Roles and responsibilities defined for Business Continuity and Disaster Recovery must be reviewed and updated periodically. Any exceptions to the same must be reported to the authorized personnel.</t>
  </si>
  <si>
    <t>Business Continuity Planning</t>
  </si>
  <si>
    <t>Ensure that information security continuity and availability of information processing facilities shall be embedded in the organization's business continuity management systems.</t>
  </si>
  <si>
    <t>Ensure the organization has a documented evacuation plan.</t>
  </si>
  <si>
    <t>There is a defined Crisis Communication plan and the plan is shared with all the stakeholders in the organization</t>
  </si>
  <si>
    <t>There is a Cyber Crisis Management Team (CCMT) to provide oversight for cyber incident response and governance</t>
  </si>
  <si>
    <t>Ensure that roles and responsibilities are defined for individuals executing each component of the plan.</t>
  </si>
  <si>
    <t>The BCP DR methodology includes:
- Business Impact Analysis 
- Risk Assessment
- Determining Choices and Business Continuity Strategy
- Developing and implementing BCP</t>
  </si>
  <si>
    <t>16. 10</t>
  </si>
  <si>
    <t>Organization has identified critical business services and applications &amp; infrastructure</t>
  </si>
  <si>
    <t>The RTO and RPO are defined for critical business applications &amp; Infrastructure based on BIA</t>
  </si>
  <si>
    <t>BCP DR plan contains the contact details of all the people to be involved in the BCP and DRP</t>
  </si>
  <si>
    <t>BCP/DR awareness training shall be provided to the employees</t>
  </si>
  <si>
    <t>The BCP team must validate and revise emergency contact information periodically. Call tree is maintained and communicated among the employees.</t>
  </si>
  <si>
    <t>Users are aware of their roles and responsibilities in the event of an disaster</t>
  </si>
  <si>
    <t>Ensure the organization has an appropriate back up site and are the DC/DR solutions implemented efficiently</t>
  </si>
  <si>
    <t>Business  Continuity Testing</t>
  </si>
  <si>
    <t>Ensure that the organization performs BCP/DR drills and the results of the same are reviewed and tracked.</t>
  </si>
  <si>
    <t>BCP DR drills are performed &amp; tested periodically, typically at a minimum once a year and the results are documented</t>
  </si>
  <si>
    <t xml:space="preserve">Business user are involved in BCP testing and sign off are taken from same </t>
  </si>
  <si>
    <t>16. 20</t>
  </si>
  <si>
    <t>Backup restoration testing are performed on the periodic basis for critical system</t>
  </si>
  <si>
    <t>Review the test results of BCP and communicate the results with the management</t>
  </si>
  <si>
    <t>Follow up checks on scheduling the failed test results</t>
  </si>
  <si>
    <t>Physical &amp; Environmental security policy should be established, documented and approved by authorized individuals. The document should be reviewed periodically and updated whenever significant changes occur.</t>
  </si>
  <si>
    <t>Organization should have a Physical and environmental security policy/ procedure defined and approved by the management.</t>
  </si>
  <si>
    <t>Secure areas</t>
  </si>
  <si>
    <t>To prevent unauthorized physical access, damage and interference to the organization's information and information processing facilities.</t>
  </si>
  <si>
    <t>Entry controls should be placed to allow only authorized personnel into the organization's premises.</t>
  </si>
  <si>
    <t>The rooms having information processing services have to be locked or need to have lockable cabinets or safes.</t>
  </si>
  <si>
    <t xml:space="preserve">The Data Center and Server Rooms must be defined as 'restricted areas' with access to only authorized individuals. </t>
  </si>
  <si>
    <t xml:space="preserve">A physical security perimeter must be created to prevent forced entry. </t>
  </si>
  <si>
    <t>Security guards are present on a 24x7 basis to guard the office premises and the information processing facilities/services.</t>
  </si>
  <si>
    <t>There is a process to store off-site media and the storage must be secure and must be accessible only to authorized personnel</t>
  </si>
  <si>
    <t>17. 10</t>
  </si>
  <si>
    <t>Physical access request for a new hire shall be initiated through a defined process. At a minimum, the following details needs to be captured:
• Employee name and ID, Reporting manager name and contact details;
• Information on specific areas to which access is required
• Date of issuance of the access card and the expiry date (applicable for contractors).</t>
  </si>
  <si>
    <t>Visitors are informed to declare their belongings at the time of entering and exiting information processing facilities.</t>
  </si>
  <si>
    <t>All visitors must be accompanied by an employee throughout their visit in information processing facilities.</t>
  </si>
  <si>
    <t>All emergency exit doors in the facility must be alarmed, monitored, and periodically ( in line with policy / process / contractual requirement ) tested.</t>
  </si>
  <si>
    <t>Access granted to secure areas are reviewed periodically.</t>
  </si>
  <si>
    <t>Logs are generated for physical access to the organization's premises</t>
  </si>
  <si>
    <t>Critical areas should be monitored for 24x7 using CCTV cameras</t>
  </si>
  <si>
    <t>All CCTV recordings are retained for at least one month for need-based analysis.</t>
  </si>
  <si>
    <t>Equipment Security</t>
  </si>
  <si>
    <t>To prevent loss, damage, theft, or compromise of assets and interruption to the organization's operation.</t>
  </si>
  <si>
    <t>Facility power supply must be backed up with DG Set and UPS.</t>
  </si>
  <si>
    <t>Facility must be equipped with emergency exit (s) to facilitate evacuation.</t>
  </si>
  <si>
    <t>17. 20</t>
  </si>
  <si>
    <t>Critical equipment in restricted areas must have a 24x7 power backup.</t>
  </si>
  <si>
    <t>There are controls in place to minimize the potential of physical &amp; environmental threats. (controls such as fire extinguishers, smoke detectors, fire alarms, temperature and humidity detector etc.)</t>
  </si>
  <si>
    <t>Maintenance is carried out periodically for all devices. For UPS and Generators should be tested regularly during non-trading hours and anomalies should be reported to appropriate authorities</t>
  </si>
  <si>
    <t>Only authorized maintenance personnel must carry out repairs and service of the equipment.</t>
  </si>
  <si>
    <t>Equipment movement within or outside the facility must be authorized and recorded. The same must be reviewed periodically ( in line with policy / process / contractual requirement ) and exceptions must be reported to the authorized personnel.</t>
  </si>
  <si>
    <t>Mock Drill should be conducted periodically for office premises and information processing/ services facilities.</t>
  </si>
  <si>
    <t>Users ensure that their desk is clear of any confidential papers or files before moving away from their desks.</t>
  </si>
  <si>
    <t>Physical Access</t>
  </si>
  <si>
    <t>To ensure physical security controls are in place for providing secure access to the critical areas</t>
  </si>
  <si>
    <t>Procedures for obtaining physical access to datacenter facilities are formally documented and followed</t>
  </si>
  <si>
    <t>17. 28</t>
  </si>
  <si>
    <t>Physical access to information systems that store, process or transmit institutional data is secured in a manner that prevents unauthorized access</t>
  </si>
  <si>
    <t>Physical access to datacenter facilities is logged and monitored</t>
  </si>
  <si>
    <t>17. 30</t>
  </si>
  <si>
    <t>Physical access to datacenter facilities is reviewed and reauthorized by a delegate on a periodic basis</t>
  </si>
  <si>
    <t>Physical access to datacenter facilities is promptly revoked when it is no longer necessary to perform authorized job responsibilities</t>
  </si>
  <si>
    <t>Third party policy should be established, documented and approved by authorized individuals. The document should be reviewed periodically and updated whenever significant changes occur.</t>
  </si>
  <si>
    <t>Organization should have a Third Party Management policy/ procedure defined and approved by the management.</t>
  </si>
  <si>
    <t>Third Party Operations</t>
  </si>
  <si>
    <t>Ensure that the organization's security controls are consistently enforced across all the third party operations</t>
  </si>
  <si>
    <t>Vendor assessment is performed before onboarding a third party supplier.</t>
  </si>
  <si>
    <t>Organization's information security requirements are incorporated and mandated in the contract signed with the third party supplier</t>
  </si>
  <si>
    <t xml:space="preserve">Confidentiality agreements have been signed before proprietary and/or confidential information is disclosed to the service provider/third party business associates. </t>
  </si>
  <si>
    <t>Escrow arrangement are in place for the any application/ software developed by the vendor.</t>
  </si>
  <si>
    <t>The organization has the contractual power and means to promptly remove or destroy data stored at the third party/service provider’s systems and backups in the event of contract termination with the service provider.</t>
  </si>
  <si>
    <t>Background verification including police verification must be conducted by the third party/vendors for all their employees.</t>
  </si>
  <si>
    <t>18. 10</t>
  </si>
  <si>
    <t>Information security controls applicable to vendors are further propagated to their vendors and subcontractors</t>
  </si>
  <si>
    <t>Data accessible to the third parties is limited to  those with a legitimate 'need-to-know' and controlled by specific individuals</t>
  </si>
  <si>
    <t xml:space="preserve">Endpoints assigned to the third party contractors will have:
1. Operating systems that are current in release
2. Disabled unwanted services
3. Default administrator access shut off
4. Security patches updated in a timely manner </t>
  </si>
  <si>
    <t>All computers and systems on which third parties maintain organization's data will be protected by acceptable industry practices for antivirus, firewalls, network and system intrusion detections systems.  </t>
  </si>
  <si>
    <t>Remote access to the organization's environment by the third party contractors is secured</t>
  </si>
  <si>
    <t xml:space="preserve">There should be a defined clause in the agreement that organization's confidential &amp; business-sensitive Data should no longer be stored with vendor upon expiry or termination of this Contract .        </t>
  </si>
  <si>
    <t xml:space="preserve">There should be a defined clause in the agreement that  vendor takes adequate measures to protect customer data against information security threats and should bear the cost associated with addressing a data leak/loss of data integrity. </t>
  </si>
  <si>
    <t>There should be a defined clause in the agreement that vendor does not disclose or allow access to any confidential   &amp; business-sensitive data to any unauthorized person i.e. person who is not involved in operational activities.</t>
  </si>
  <si>
    <t xml:space="preserve">There should be a defined clause in the agreement that organization or its nominated representatives are allowed access to vendor premises, Information and records, and those of its employees and sub-contractors.       </t>
  </si>
  <si>
    <t xml:space="preserve">During the Term of the Agreement, organization has reserved the right to audit for the Vendors to check the reasonable security practices followed within the organization to achieve satisfactory assurance that the associate will appropriately safeguard the information.       </t>
  </si>
  <si>
    <t>18. 20</t>
  </si>
  <si>
    <t xml:space="preserve">There should be a defined clause in the agreement that vendor should maintains system/application logs and retain them for at least period of 3 months or as per regulatory requirement.      </t>
  </si>
  <si>
    <t>There should be a defined clause in the agreement that vendor &amp; it’s subcontractors complies with organizations third-party information security policy requirements including the above ones.</t>
  </si>
  <si>
    <t>The contract is regularly reviewed for its validity</t>
  </si>
  <si>
    <t>Third Party Review</t>
  </si>
  <si>
    <t>Review of third party operations is conducted periodically to ensure the security of information shared</t>
  </si>
  <si>
    <t>There is a defined process for change management in third party service provider organization to ensure secure operations</t>
  </si>
  <si>
    <t>Third Parties must be required to provide periodic reports about the information security incidents and the actions taken</t>
  </si>
  <si>
    <t>SLAs must be reviewed periodically  to ensure that they are effective, up-to-date and the changes in requirements have been accounted for appropriately.</t>
  </si>
  <si>
    <t>SLA</t>
  </si>
  <si>
    <t>To ensure stringent SLA are employed to ensure acceptable service levels</t>
  </si>
  <si>
    <t>There is a defined SLA mutually agreed upon and approved by the organization</t>
  </si>
  <si>
    <t>Penalties are levied on the service provider in the event the SLA is breached</t>
  </si>
  <si>
    <t>Compliance policy should be established, documented and approved by authorized individuals. The document should be reviewed periodically and updated whenever significant changes occur.</t>
  </si>
  <si>
    <t>Organization should have a Compliance Management policy/ procedure defined and approved  by the management.</t>
  </si>
  <si>
    <t>The document is reviewed, updated and approved by authorized individuals as per the defined frequency in the policy/ procedure.</t>
  </si>
  <si>
    <t>Compliance requirements</t>
  </si>
  <si>
    <t>To avoid breaches of legal, statutory, regulatory or contractual obligations related to information security</t>
  </si>
  <si>
    <t>All legislative, regulatory &amp; contractual  compliance requirements are identified for business operations, technical operations and information security requirements</t>
  </si>
  <si>
    <t>All licenses and intellectual property are reviewed for compliance</t>
  </si>
  <si>
    <t>Audit data and records are retained for a period defined by the management as per the compliance requirements</t>
  </si>
  <si>
    <t>Internal Review</t>
  </si>
  <si>
    <t>Management should initiate an independent internal audit. Such an independent review is necessary to ensure the continuing suitability, adequacy and effectiveness of the organization’s approach to managing Compliance</t>
  </si>
  <si>
    <t>Independent information security reviews for compliance to internal processes are performed periodically</t>
  </si>
  <si>
    <t>The results of compliance reviews against information security policies have been reported to appropriate stakeholders</t>
  </si>
  <si>
    <t>The findings of the internal reviews have an appropriate corrective action plan</t>
  </si>
  <si>
    <t>19. 10</t>
  </si>
  <si>
    <t>The findings of the internal reviews have an appropriate root cause analysis</t>
  </si>
  <si>
    <t>The supporting documents for internal reviews are reviewed for closure of observations and are stored securely</t>
  </si>
  <si>
    <t>Software license management</t>
  </si>
  <si>
    <t>A repository should be maintained which contains copies of all software license agreements</t>
  </si>
  <si>
    <t>Software licences are procured from authorized sources</t>
  </si>
  <si>
    <t>Software licences are procured only post authorized approvals</t>
  </si>
  <si>
    <t>There is a consolidated list of all software licences procured and utilized in the organization</t>
  </si>
  <si>
    <t>Software licences are reviewed/ audited periodically for their validity and effective utilization</t>
  </si>
  <si>
    <t>Above review / audit result is actioned (procurement of additional licenses, termination or internal switch of licenses) and communicated formally to the management</t>
  </si>
  <si>
    <t>Initial</t>
  </si>
  <si>
    <t>NA</t>
  </si>
  <si>
    <t>Key Control Weightage</t>
  </si>
  <si>
    <t>Defined</t>
  </si>
  <si>
    <t>Increment</t>
  </si>
  <si>
    <t>Repeatable</t>
  </si>
  <si>
    <t>Decrement</t>
  </si>
  <si>
    <t>Adaptive</t>
  </si>
  <si>
    <t>Monitoring &amp; Review</t>
  </si>
  <si>
    <t>Review &amp; Monitoring</t>
  </si>
  <si>
    <t>No Document</t>
  </si>
  <si>
    <t>Not Reported</t>
  </si>
  <si>
    <t>Informal Document</t>
  </si>
  <si>
    <t>Parts of Policy Implemented</t>
  </si>
  <si>
    <t>Parts of Policy Automated</t>
  </si>
  <si>
    <t>Parts of Policy Reported</t>
  </si>
  <si>
    <t>Partial Written Document</t>
  </si>
  <si>
    <t>Implemented on Some Systems</t>
  </si>
  <si>
    <t>Automated on Some Systems</t>
  </si>
  <si>
    <t>Reported on Some Systems</t>
  </si>
  <si>
    <t>Written Document</t>
  </si>
  <si>
    <t>Implemented on Most Systems</t>
  </si>
  <si>
    <t>Automated on Most Systems</t>
  </si>
  <si>
    <t>Reported on Most Systems</t>
  </si>
  <si>
    <t>Approved Written Document</t>
  </si>
  <si>
    <t>Implemented on All Systems</t>
  </si>
  <si>
    <t>Automated on All Systems</t>
  </si>
  <si>
    <t>Reported on All Systems</t>
  </si>
  <si>
    <t>Sr. No.</t>
  </si>
  <si>
    <t>People/Process/Technology</t>
  </si>
  <si>
    <t>Applicable Domain</t>
  </si>
  <si>
    <t>Control Mapping</t>
  </si>
  <si>
    <t>Observations</t>
  </si>
  <si>
    <t>Criticality</t>
  </si>
  <si>
    <t>Recommendation</t>
  </si>
  <si>
    <t>Process</t>
  </si>
  <si>
    <t>HIGH</t>
  </si>
  <si>
    <t>If these process documents are not updated and reviewed periodically, there is a risk of  inconsistent implementation of the processes or the processes not being implemented altogether.</t>
  </si>
  <si>
    <t>It is recommended that all the aforementioned policies should be updated and reviewed on periodic basis, so that all the processes are consistently implemented and followed across the organization.</t>
  </si>
  <si>
    <t>MEDIUM</t>
  </si>
  <si>
    <t>Infrastructure and  Operations</t>
  </si>
  <si>
    <t>5.26 - 5.33</t>
  </si>
  <si>
    <t>In this scenario there is a risk that changes made to the infrastructure, application or production environment would not be centrally tracked and resolved within the stipulated time based on their criticality which can lead to high severity changes not being prioritized.</t>
  </si>
  <si>
    <t xml:space="preserve">It is recommended that a change management process should be defined and documented . Also, it is recommended to centrally track all changes made to the infrastructure, application and production environment for their request, testing and approval. 
</t>
  </si>
  <si>
    <t>Technology</t>
  </si>
  <si>
    <t>Based on the review performed we noted that there is no SIEM solution implemented for centralized log monitoring, correlation and alerting of all critical systems and devices.
Also, a syslog server was not maintained to store logs centrally.</t>
  </si>
  <si>
    <t xml:space="preserve">It is recommended to integrate logs of all the critical systems/ channels for integrated monitoring and cross-platform correlation.
</t>
  </si>
  <si>
    <t>In the absence of periodic hardening review there is a risk that default configuration which may pose threat by external and internal activities would  not be identified and removed proactively.</t>
  </si>
  <si>
    <t>It is recommended that hardening review for these systems should be carried out on a periodic basis to ensure they are on best practices.</t>
  </si>
  <si>
    <t>Based on the review performed we noted that there is no defined process for Database Security.</t>
  </si>
  <si>
    <t xml:space="preserve">If these process documents are not prepared and reviewed, there is a risk of  inconsistent implementation of the processes or the processes not being implemented altogether </t>
  </si>
  <si>
    <t>It is recommended that all the aforementioned policies should be prepared and reviewed so that all the processes are consistently implemented and followed across the organization</t>
  </si>
  <si>
    <t>Based on the review performed we noted that the defined recovery time objective (RTO) and recovery point objective (RPO) for restoration of critical systems are not derived post a formal business impact analysis.</t>
  </si>
  <si>
    <t>In the absence of approved RTO and RPO there is a risk that the organization would not be able to restore the  critical data within the required duration in the event of a disaster.</t>
  </si>
  <si>
    <t>It is recommended to conduct a business impact analysis to arrive at the acceptable RTO &amp; RPO for all critical systems in the event of a disaster</t>
  </si>
  <si>
    <t>People</t>
  </si>
  <si>
    <t>Based on the review performed we noted that there is no formal Cyber Crisis Management Plan nor a Crisis Communication Plan defined &amp; distributed for handling crisis situation.</t>
  </si>
  <si>
    <t>In the absence of defined documentation or plan for cyber crisis  there is a risk of inconsistent adherence to the defined process.</t>
  </si>
  <si>
    <t>It is recommended to have a defined plan for handling cyber crisis with should be regularly reviewed and updated.</t>
  </si>
  <si>
    <t>Based on the review performed we noted that there is no defined process for Application Security.</t>
  </si>
  <si>
    <t xml:space="preserve">If the process documents are not prepared and reviewed, there is a risk of  inconsistent implementation of the processes or the processes not being implemented altogether </t>
  </si>
  <si>
    <t>It is recommended the aforementioned policy should be prepared and reviewed so that all the processes are consistently implemented and followed across the organization</t>
  </si>
  <si>
    <t>Based on the review performed we noted that the defined TAT is not followed for the closure of risks based on their criticality and priority.</t>
  </si>
  <si>
    <t>In the scenario there is a risk that any critical changes might get delay which will further impact the business team on their operations.</t>
  </si>
  <si>
    <t>It is recommended to have defined TAT for closing all change requests based on their priority.</t>
  </si>
  <si>
    <t>Based on the review performed we noted that there is no defined process for calculation of residual risk and approval of exceptions identified in the risk assessment methodology. 
Also we noted that frequency of conducting ISMS both external and internal are not documented in the risk assessment methodology.</t>
  </si>
  <si>
    <t>In the absence of defined documentation or process for calculation of residual risk  there is a risk of inconsistent risk that remains after risk assessment.</t>
  </si>
  <si>
    <t>It is recommended to have a defined process to calculate residual risk which should be regularly reviewed and updated.</t>
  </si>
  <si>
    <t>Based on the review performed we noted records are not maintained for the usages of DSE tokens</t>
  </si>
  <si>
    <t>LOW</t>
  </si>
  <si>
    <t>In absence of record/register for the usage of DSE tokens, it will be difficult to establish accountability for the activities performed by an individual.</t>
  </si>
  <si>
    <t>A register/record must be maintained and required details must be fed before using tokens.</t>
  </si>
  <si>
    <t>In the absence of trend analysis there is a risk that repeat incidents would not be identified for problem management</t>
  </si>
  <si>
    <t>It is also recommended to conduct trend analysis of all incidents to identify repeat incidents for problem management</t>
  </si>
  <si>
    <t>Based on the review performed we noted the person raising the incident is not informed of the progress of his/ her reported incident</t>
  </si>
  <si>
    <t>In this scenario the person raising the incident is not aware of the status of their incident which could lead to misunderstanding between teams.</t>
  </si>
  <si>
    <t>It is recommended the person should be informed and made aware of current status of the incident.</t>
  </si>
  <si>
    <t>Based on the review performed, we noted that the root cause analysis for incidents is not carried out by the incident response team.</t>
  </si>
  <si>
    <t>In this scenario there is a risk that if Root cause analysis is not performed for incidents then there is a possibility for the incidents to reoccur in future</t>
  </si>
  <si>
    <t>It is recommended that root cause analysis for incidents should be performed to avoid re occurrence of incidents</t>
  </si>
  <si>
    <t>Absence of DLP controls to prevent exfiltration of data.</t>
  </si>
  <si>
    <t>In this scenario any malicious user or disgruntled employee will be able to exfiltrate confidential information such as designs and drawings from the organization network</t>
  </si>
  <si>
    <t>It is recommended to implement a DLP solution to prevent unauthorized exfiltration of confidential information</t>
  </si>
  <si>
    <t>Endpoint Security</t>
  </si>
  <si>
    <t>Based on the review performed we noted that business continuity awareness trainings were not provided to the users involved in BCP activities.</t>
  </si>
  <si>
    <t>In the absence of BCP/ DR awareness training of the employees they will be unaware of their responsibilities and the course of actions to be taken in case of an actual disaster.</t>
  </si>
  <si>
    <t>It is recommended that BCP/DR awareness trainings to be conducted for the employees on periodic basis.</t>
  </si>
  <si>
    <t>There is no a process defined to push the failed patches on the systems and to track the ageing of failed patches.</t>
  </si>
  <si>
    <t>There is a risk if patches are not applied in a timely manner on systems.</t>
  </si>
  <si>
    <t>System patches that fail to install should be tracked, reported and reviewed for reinstallation. The process should be defined and timelines set for re-applying these patches.</t>
  </si>
  <si>
    <t>Based on the review performed we noted that data stored on removable media is not encrypted.</t>
  </si>
  <si>
    <t>If the confidential data stored on removable media like pen drives is not encrypted there is a risk of unauthorized access to the data in the event the media is lost or misplaced.</t>
  </si>
  <si>
    <t>It is recommended that all the confidential data stored on removable media must be encrypted</t>
  </si>
  <si>
    <t>Not having IS steering committee will result in inaccurate alignment of IS strategy to the vision, mission, objectives and goal statements of the organization.</t>
  </si>
  <si>
    <t>1.10.</t>
  </si>
  <si>
    <t>Based on the review performed we noted that there was shortage of information security personnel in Information Security Team.</t>
  </si>
  <si>
    <t>Dedicated IS personnel  should be hired to take up roles and responsibilities.</t>
  </si>
  <si>
    <t>Based on the review performed we noted that there was MAM/MDM solution is implemented for mobile devices.</t>
  </si>
  <si>
    <t>It is recommended to implement MDM/MAM solution for the employees and staff of LTRPM.</t>
  </si>
  <si>
    <t>Impact</t>
  </si>
  <si>
    <t>Based on the review performed we noted that the below stated policies and procedures were not documented:
1. Antivirus policy
2. Patch management
3. Backup management procedure
4. Change Management
5. Log Management policy
6. Database security policy
7. Cryptographic Control Policy
8. Compliance policy
9. Mobility policy
10. HR security policy
11. Application Security policy
12. Business Continuity policy
13. Vulnerability management policy
14. Physical and Environment policy
15. System Acceptance and Capacity monitoring policy
16. Third party security policy
17. Data Retention policy</t>
  </si>
  <si>
    <t>If these process documents are not documented, there is a risk of  inconsistent implementation of the processes or the processes not being implemented altogether.</t>
  </si>
  <si>
    <t>It is recommended that all the aforementioned policies should be document and reviewed on periodic basis.</t>
  </si>
  <si>
    <t>Based on the review performed we noted that the below stated policies and procedures were not reviewed and updated:
1. Access Control policy
2. Asset management policy
3. Backup management procedure
4. Incident management policy
5. Risk Management policy
6. Endpoint protection Policy
7. Information Security policy
8. Network Security policy
9. Wireless network usage policy</t>
  </si>
  <si>
    <t>Based on the review it observed that RACI matrix was not properly documented and implemented</t>
  </si>
  <si>
    <t>It is recommended that RACI matrix should be documented and approved by authorized personnel</t>
  </si>
  <si>
    <t>Organization does not have an IS Steering Committee. Also role of ISO was not documented.</t>
  </si>
  <si>
    <t>A steering committee should be formed for all information related tasks. Roles of ISO should also be defined.</t>
  </si>
  <si>
    <t>Insufficient IS personnel will result in overlap of resources of other roles and responsibilities, in this case the segregation of duties also is defeated.</t>
  </si>
  <si>
    <t>There is no clear segregation in functions of security team/group responsible for information security and the IT team which is responsible for the implementation and maintenance of IT Systems.</t>
  </si>
  <si>
    <t>There is a risk where there will be a conflict in the duties and tasks executed for IT operations and IT security</t>
  </si>
  <si>
    <t>It is recommended to have clearly defined roles and responsibilities for both IT operations and IT security teams</t>
  </si>
  <si>
    <t>Based on the review it was observed that process for unique used ID creation is not documented.</t>
  </si>
  <si>
    <t>In absence of defined process for unique user ID creation, organization may face issue to separate User ID and might end up having to similar user ID.</t>
  </si>
  <si>
    <t>It is recommended that to define the process for creation of unique user ID.</t>
  </si>
  <si>
    <t>It was observed that network, server, databases and non-IT asset were not recorded in the asset inventory</t>
  </si>
  <si>
    <t>This may lead to misplacing of the asset.</t>
  </si>
  <si>
    <t>it recommended that all IT and non-IT asset should be recorded in the centralized asset inventory</t>
  </si>
  <si>
    <t>The process for management for annual maintenance contract was not documented.</t>
  </si>
  <si>
    <t>This may lead to usages of an assets after their end of life.</t>
  </si>
  <si>
    <t>It is recommended that annual maintenance contract should be maintained for all the assets (wherever applicable) present in the organization.</t>
  </si>
  <si>
    <t>Media handling policy was not documented</t>
  </si>
  <si>
    <t>Absence of media handling policy, organization may face issue such as un-secure disposal of devices and unauthorized usages of USB</t>
  </si>
  <si>
    <t xml:space="preserve">It is recommended that Media handling policy should be documented </t>
  </si>
  <si>
    <t>4.8, 10.39</t>
  </si>
  <si>
    <t>Incident management</t>
  </si>
  <si>
    <t>Escalation matrix was not documented and shared with all the stakeholders</t>
  </si>
  <si>
    <t>An escalation matrix should be documented and shared with stakeholders.</t>
  </si>
  <si>
    <t>Incident classification matrix was not documented for depicting the classification of cyber incidents</t>
  </si>
  <si>
    <t>Cyber security incidents should be classified based on the impact and the same should be documented.</t>
  </si>
  <si>
    <t>An information security incident and response register was not established and maintained.</t>
  </si>
  <si>
    <t>An information security incident and response register should be established and maintained.</t>
  </si>
  <si>
    <t>All incidents should have a defined TAT within which they should be resolved.</t>
  </si>
  <si>
    <t>Based on the review performed we noted that incident trend analysis which provides an overview and analysis of incidents over a defined period is not documented.</t>
  </si>
  <si>
    <t>Cyber Incident Response Team (CIRT) was not formed</t>
  </si>
  <si>
    <t>Cyber Incident Response Team (CIRT) should be formed for the management of the cyber incident.</t>
  </si>
  <si>
    <t>Not implementing MDM/MAM solution will allow users to access corporate services without a formal or secure procedure.</t>
  </si>
  <si>
    <t xml:space="preserve">It was observed that full disk encryption was not implemented </t>
  </si>
  <si>
    <t>In case of stolen device, it becomes easier to get access to the content stored in the system.</t>
  </si>
  <si>
    <t>It recommended that full disk encryption shall be implemented on all laptops for secure data storage in the system.</t>
  </si>
  <si>
    <t>Based on the review performed we noted that the change requests are not classified based on their priority.  Moreover, all changes including emergency changes are not documented and tracked and monitored centrally.</t>
  </si>
  <si>
    <t>Based on the review performed we noted that periodic hardening review and VA were not conducted for critical servers and network devices.</t>
  </si>
  <si>
    <t>It is recommended that IT based risk assessment methodology should also be defined and implemented.</t>
  </si>
  <si>
    <t>It was observed that Application security training was not provided to the application team</t>
  </si>
  <si>
    <t>For below mentioned laptops, Department not mentioned:
1. Puneet Sachdeva 
2. Anuj Kumar 
3. Tapas Kumar Mandal
4. Snehal Bolke</t>
  </si>
  <si>
    <t>It is recommended that all details should be filled in the asset inventory</t>
  </si>
  <si>
    <t>For below mentioned laptops, Issue date not mentioned:
1. Simran Singh
2. Balram Verma
3. Puneet Sachdeva 
4. Paresh Ranjan Mohapatra
5. Athar Shahab
6. Ravi Paliwal</t>
  </si>
  <si>
    <t>For below mentioned desktops, Department not mentioned:
1. Sanjay Kumar</t>
  </si>
  <si>
    <t>For below mentioned servers were not updated antivirus:
1. NPLMAXIMODEV2
2. NPL-RAJ-FILESVR
3. NPLDASH</t>
  </si>
  <si>
    <t>In case of having outdated anti-virus application, server may gets affected by the malware that may cause loss of data</t>
  </si>
  <si>
    <t>It is recommended that all servers should have anti-malware software with latest signature update</t>
  </si>
  <si>
    <t>About 27% endpoints were not updated with latest anti-virus</t>
  </si>
  <si>
    <t>It is recommended that all system should have anti-malware software with latest signature update</t>
  </si>
  <si>
    <t>Users access review for servers, database, network devices and PIM users was not performed periodically</t>
  </si>
  <si>
    <t>All privileged user access rights shall be reviewed on the periodic basis.</t>
  </si>
  <si>
    <t>It was observed that organization does not monitors and reviews the activities of the privilege users</t>
  </si>
  <si>
    <t>It recommended to monitors and reviews all the activities of the privilege users</t>
  </si>
  <si>
    <t>10.52-10.56</t>
  </si>
  <si>
    <t>It was observed that process for patch and change implementation on the network devices are not documented and implemented.</t>
  </si>
  <si>
    <t>Physical and Environmental Security</t>
  </si>
  <si>
    <t>It was informed that CCTV was not implemented in the Server room</t>
  </si>
  <si>
    <t>CCTV should be implemented on all the server, with having any blind spot.</t>
  </si>
  <si>
    <t>It was noted that for recording for below mentioned CCTV was not kept for one month
1. Ash Silo
2. Watch Tower</t>
  </si>
  <si>
    <t xml:space="preserve">Compliance management </t>
  </si>
  <si>
    <t>All legislative, regulatory &amp; contractual compliance requirements are not identified for business operations, technical operations and information security requirements</t>
  </si>
  <si>
    <t>It is recommended that all legislative, regulatory &amp; contractual compliance requirements should be  identified for business operations, technical operations and information security requirements</t>
  </si>
  <si>
    <t>Threat modelling to identify risks arising from applications is not documented and implemented.</t>
  </si>
  <si>
    <t>Below mentioned unapproved application was installed in the NPL system:
1. Advanced IP Scanner 2.5
2. AnyDesk
3. ClipGrab 3.6.8
4. Password Recovery Bundle 2018
5. SHAREit
6. TeamViewer
7. WinZip 15.0</t>
  </si>
  <si>
    <t>It is recommended that only approved and secure application should be installed in the system</t>
  </si>
  <si>
    <t>It recommended that USB access should only be allowed with management approval</t>
  </si>
  <si>
    <t>It was observed that windows 2008 R2 server is used which is currently in the end of life state</t>
  </si>
  <si>
    <t xml:space="preserve">End of life application should not used in the environment </t>
  </si>
  <si>
    <t>All asset tag should be mapped with the asset inventory</t>
  </si>
  <si>
    <t>Based on the review performed, we noted that  some of the service IDs are interactive in nature but does not have a password expiry</t>
  </si>
  <si>
    <t>It is recommended that all the interactive service IDs should have a password expiry</t>
  </si>
  <si>
    <t>It was noted that for the application "Vital Parameter Display and Vehicle Management" VAPT was not completed. Also for Maximo Asset Management only server  VAPT was conducted, application VAPT is pending.</t>
  </si>
  <si>
    <t>It is recommended that application security testing should be performed on the periodic basis</t>
  </si>
  <si>
    <t>It is recommended that all serves should have access though PIM only</t>
  </si>
  <si>
    <t>NPL is not ISO 27001 certified</t>
  </si>
  <si>
    <t>It recommended that organization should be ISO 27001 certified.</t>
  </si>
  <si>
    <t>It was observed that local admin privileged was not implemented</t>
  </si>
  <si>
    <t>It is LAPS (Local Administrator Password Solution) should be implement for local admin privileged access</t>
  </si>
  <si>
    <t>In case of non-closure of incident employee may not be able to identify the personal to escalate.</t>
  </si>
  <si>
    <t>Absence on TAT , incident may not get closed</t>
  </si>
  <si>
    <t>It is recommended that application security training should be provided to all required personnel.</t>
  </si>
  <si>
    <t>Absence of Application security training, application team may not be aware for latest application breaches.</t>
  </si>
  <si>
    <t>Absence of issue date may ne hard to track the lifecycle of the system.</t>
  </si>
  <si>
    <t>This may introduce viruses in the endpoints and may hamper organization information</t>
  </si>
  <si>
    <t>Absence patch and change implementation process may lead insecure configuration and lead security breaches</t>
  </si>
  <si>
    <t>This may lead non monitoring of the server room</t>
  </si>
  <si>
    <t xml:space="preserve">This may lead to successful exploitation allows an attacker to perform finger printing for other reachable networks. </t>
  </si>
  <si>
    <t>This may allows an attacker to take advantage of unpatched system and compromise remote host and gather sensitive details, compromising confidentiality, integrity and availability of the remote affected host.</t>
  </si>
  <si>
    <t>This may lead to data breach</t>
  </si>
  <si>
    <t>Absence of RACI matrix makes difficult to set accountability</t>
  </si>
  <si>
    <t>The process to review user access rights by the authorized personnel at regular intervals was not defined in the policy.</t>
  </si>
  <si>
    <t>In case of un-reviewed user access right, organization may faces issue like unauthorized access rights.</t>
  </si>
  <si>
    <t>It recommended that process to review user access rights by the authorized personnel at regular intervals.</t>
  </si>
  <si>
    <t>It is observed that process for approval of access privileges granted by an authorized personnel is not documented.</t>
  </si>
  <si>
    <t>This may lead to unwanted privileged access to an authorized personnel</t>
  </si>
  <si>
    <t>It recommended that privileged user should be granted based on the approvals by an authorized personnel.</t>
  </si>
  <si>
    <t xml:space="preserve">If logs of all critical channels/ systems are not integrated, there is a possibility that the organization would not be able to accurately collect, monitor, analyze, and identify security threats within a single integrated platform. Further, cross-platform correlation would also not be possible. </t>
  </si>
  <si>
    <t>Absence on incident classification matrix, incident may mot be resolved based the criticality of the incident</t>
  </si>
  <si>
    <t>Absence of incident register may cause issue in tracking all the incident.</t>
  </si>
  <si>
    <t>Incidents are not documented TAT</t>
  </si>
  <si>
    <t>Absence of CIRT, incident may not treated as per the procedure and may have huge impact on the working of organization</t>
  </si>
  <si>
    <t>It was observed that organization does have defined risk assessment methodology. However IT based risk assessment process was not defined and implemented.</t>
  </si>
  <si>
    <t>In absence of IT based risk assessment, IT related risk may cause huge impact on the organization</t>
  </si>
  <si>
    <t>This may cause issue to track the users with change in roles and responsibilities</t>
  </si>
  <si>
    <t>It was observed that backup was not taken backup tapes and stored in different seismic zone</t>
  </si>
  <si>
    <t>In case disaster data stored in the backup servers and tape drives might not be accessible to restore and work properly</t>
  </si>
  <si>
    <t>Backup should always kept in different seismic zone.</t>
  </si>
  <si>
    <t>This may lead to unauthorized activities</t>
  </si>
  <si>
    <t>It is recommended that process for patch and change implementation on the network devices should be documented and implemented.</t>
  </si>
  <si>
    <t>It recommended that CCTV recording should be kept for at least one month</t>
  </si>
  <si>
    <t>The threats should be identified and mitigated before the application is made live.</t>
  </si>
  <si>
    <t>Unwanted application may introduce malware and other malicious element to the environment</t>
  </si>
  <si>
    <t xml:space="preserve">It was observed that network was segregated between end-users and servers. There are 4 servers implemented in the user segment and 126 end-user machine in the server segment. </t>
  </si>
  <si>
    <t>It recommended that network should be segregated between end-users system and servers.</t>
  </si>
  <si>
    <t>It was observed that out 287 end-users 25 machine have USB access without management approval. Also there is 1 server (NPL-RAJ-FILESVR) have USB access.</t>
  </si>
  <si>
    <t>It was noted that asset inventory does not capture the asset tag</t>
  </si>
  <si>
    <t>This may lead to intractability of the asset</t>
  </si>
  <si>
    <t>In this scenario, there is a risk that any user with malicious intent can get access to the critical information via brute force</t>
  </si>
  <si>
    <t>It was noted that below mentioned server hosted at Rajpura was not integrated with PIM:
POVSCITNPLDFSD
PVNPLWPPIN01
PVNPLWPEACS1
PVNPLWPEPAS1
PVNPLWPEAAS2
POVSNPLBNKPAY</t>
  </si>
  <si>
    <t>Absence of threat modelling application may left with unknown loopholes and vulnerabilities in the application</t>
  </si>
  <si>
    <t>NPL Comments</t>
  </si>
  <si>
    <t xml:space="preserve">
Cyber Security Assurance Framework</t>
  </si>
  <si>
    <t>Maturity Assessment-NALCO</t>
  </si>
  <si>
    <t xml:space="preserve"> National Aluminium Company Limited (NALCO) is a Schedule ‘A’ Navratna CPSE established on 7th January, 1981 , 2022 NALCO India ,  A Govt. of India Enterprise</t>
  </si>
  <si>
    <t xml:space="preserve"> 
Dated: 10.06.2024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</si>
</sst>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7">
    <font>
      <sz val="11"/>
      <color theme="1"/>
      <name val="Calibri"/>
      <family val="2"/>
      <scheme val="minor"/>
    </font>
    <font>
      <b/>
      <sz val="11"/>
      <color theme="1"/>
      <name val="Calibri"/>
      <family val="2"/>
      <scheme val="minor"/>
    </font>
    <font>
      <sz val="11"/>
      <color theme="1"/>
      <name val="Candara"/>
      <family val="2"/>
    </font>
    <font>
      <sz val="11"/>
      <name val="Calibri"/>
      <family val="2"/>
      <scheme val="minor"/>
    </font>
    <font>
      <sz val="11"/>
      <color indexed="8"/>
      <name val="Calibri"/>
      <family val="2"/>
      <scheme val="minor"/>
    </font>
    <font>
      <sz val="11"/>
      <color theme="0"/>
      <name val="Calibri"/>
      <family val="2"/>
      <scheme val="minor"/>
    </font>
    <font>
      <b/>
      <sz val="22"/>
      <color theme="1"/>
      <name val="Candara"/>
      <family val="2"/>
    </font>
    <font>
      <b/>
      <sz val="22"/>
      <color theme="1"/>
      <name val="Univers for KPMG"/>
      <family val="2"/>
    </font>
    <font>
      <b/>
      <sz val="12"/>
      <color theme="1"/>
      <name val="Candara"/>
      <family val="2"/>
    </font>
    <font>
      <sz val="6"/>
      <color theme="1"/>
      <name val="Univers for KPMG"/>
      <family val="2"/>
    </font>
    <font>
      <b/>
      <sz val="14"/>
      <color theme="1"/>
      <name val="Calibri"/>
      <family val="2"/>
      <scheme val="minor"/>
    </font>
    <font>
      <sz val="10"/>
      <color rgb="FF000000"/>
      <name val="Segoe UI"/>
      <family val="2"/>
    </font>
    <font>
      <sz val="11"/>
      <color rgb="FF000000"/>
      <name val="Calibri"/>
      <family val="2"/>
      <scheme val="minor"/>
    </font>
    <font>
      <b/>
      <sz val="12"/>
      <color theme="1"/>
      <name val="Calibri"/>
      <family val="2"/>
      <scheme val="minor"/>
    </font>
    <font>
      <sz val="12"/>
      <color theme="1"/>
      <name val="Calibri"/>
      <family val="2"/>
      <scheme val="minor"/>
    </font>
    <font>
      <u/>
      <sz val="11"/>
      <color theme="10"/>
      <name val="Calibri"/>
      <family val="2"/>
      <scheme val="minor"/>
    </font>
    <font>
      <sz val="10"/>
      <color rgb="FF000000"/>
      <name val="Arial"/>
      <family val="2"/>
    </font>
    <font>
      <b/>
      <sz val="11"/>
      <name val="Calibri"/>
      <family val="2"/>
      <scheme val="minor"/>
    </font>
    <font>
      <sz val="10"/>
      <color theme="1"/>
      <name val="Calibri"/>
      <family val="2"/>
      <scheme val="minor"/>
    </font>
    <font>
      <b/>
      <sz val="10"/>
      <color theme="1"/>
      <name val="Calibri"/>
      <family val="2"/>
      <scheme val="minor"/>
    </font>
    <font>
      <sz val="11"/>
      <color rgb="FFFF0000"/>
      <name val="Calibri"/>
      <family val="2"/>
      <scheme val="minor"/>
    </font>
    <font>
      <b/>
      <sz val="11"/>
      <color rgb="FFFF0000"/>
      <name val="Calibri"/>
      <family val="2"/>
      <scheme val="minor"/>
    </font>
    <font>
      <sz val="10"/>
      <color rgb="FF000000"/>
      <name val="Calibri"/>
      <family val="2"/>
    </font>
    <font>
      <sz val="14"/>
      <color theme="1"/>
      <name val="Calibri"/>
      <family val="2"/>
      <scheme val="minor"/>
    </font>
    <font>
      <b/>
      <sz val="14"/>
      <color rgb="FFC00000"/>
      <name val="Calibri"/>
      <family val="2"/>
      <scheme val="minor"/>
    </font>
    <font>
      <sz val="11"/>
      <color rgb="FFC00000"/>
      <name val="Calibri"/>
      <family val="2"/>
      <scheme val="minor"/>
    </font>
    <font>
      <b/>
      <sz val="16"/>
      <color theme="1"/>
      <name val="Candara"/>
      <family val="2"/>
    </font>
    <font>
      <b/>
      <sz val="11"/>
      <color rgb="FF000000"/>
      <name val="Calibri"/>
      <family val="2"/>
      <scheme val="minor"/>
    </font>
    <font>
      <b/>
      <sz val="11"/>
      <color indexed="8"/>
      <name val="Calibri"/>
      <family val="2"/>
      <scheme val="minor"/>
    </font>
    <font>
      <sz val="11"/>
      <color theme="1"/>
      <name val="Calibri"/>
      <family val="2"/>
      <scheme val="minor"/>
    </font>
    <font>
      <sz val="12"/>
      <color theme="1"/>
      <name val="Candara"/>
      <family val="2"/>
    </font>
    <font>
      <sz val="9"/>
      <color indexed="81"/>
      <name val="Tahoma"/>
      <family val="2"/>
    </font>
    <font>
      <b/>
      <sz val="9"/>
      <color indexed="81"/>
      <name val="Tahoma"/>
      <family val="2"/>
    </font>
    <font>
      <b/>
      <sz val="11"/>
      <color theme="0"/>
      <name val="Calibri"/>
      <family val="2"/>
      <scheme val="minor"/>
    </font>
    <font>
      <sz val="11"/>
      <color rgb="FF000000"/>
      <name val="Calibri"/>
      <family val="2"/>
    </font>
    <font>
      <sz val="11"/>
      <color theme="1"/>
      <name val="Calibri"/>
      <family val="2"/>
    </font>
    <font>
      <sz val="8"/>
      <name val="Calibri"/>
      <family val="2"/>
      <scheme val="minor"/>
    </font>
  </fonts>
  <fills count="9">
    <fill>
      <patternFill patternType="none"/>
    </fill>
    <fill>
      <patternFill patternType="gray125"/>
    </fill>
    <fill>
      <patternFill patternType="solid">
        <fgColor theme="4" tint="0.79998168889431442"/>
        <bgColor indexed="64"/>
      </patternFill>
    </fill>
    <fill>
      <patternFill patternType="solid">
        <fgColor theme="0"/>
        <bgColor indexed="64"/>
      </patternFill>
    </fill>
    <fill>
      <patternFill patternType="solid">
        <fgColor theme="2"/>
        <bgColor indexed="64"/>
      </patternFill>
    </fill>
    <fill>
      <patternFill patternType="solid">
        <fgColor theme="0" tint="-0.14999847407452621"/>
        <bgColor indexed="64"/>
      </patternFill>
    </fill>
    <fill>
      <patternFill patternType="solid">
        <fgColor rgb="FFFFFF00"/>
        <bgColor indexed="64"/>
      </patternFill>
    </fill>
    <fill>
      <patternFill patternType="solid">
        <fgColor rgb="FF002060"/>
        <bgColor indexed="64"/>
      </patternFill>
    </fill>
    <fill>
      <patternFill patternType="solid">
        <fgColor theme="8" tint="0.39997558519241921"/>
        <bgColor indexed="64"/>
      </patternFill>
    </fill>
  </fills>
  <borders count="60">
    <border>
      <left/>
      <right/>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medium">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bottom style="thin">
        <color indexed="64"/>
      </bottom>
      <diagonal/>
    </border>
    <border>
      <left style="medium">
        <color indexed="64"/>
      </left>
      <right style="thin">
        <color indexed="64"/>
      </right>
      <top style="medium">
        <color indexed="64"/>
      </top>
      <bottom/>
      <diagonal/>
    </border>
    <border>
      <left/>
      <right style="thin">
        <color indexed="64"/>
      </right>
      <top/>
      <bottom/>
      <diagonal/>
    </border>
    <border>
      <left/>
      <right style="thin">
        <color indexed="64"/>
      </right>
      <top style="medium">
        <color indexed="64"/>
      </top>
      <bottom/>
      <diagonal/>
    </border>
    <border>
      <left/>
      <right style="thin">
        <color indexed="64"/>
      </right>
      <top/>
      <bottom style="medium">
        <color indexed="64"/>
      </bottom>
      <diagonal/>
    </border>
    <border>
      <left/>
      <right style="thin">
        <color indexed="64"/>
      </right>
      <top style="thin">
        <color indexed="64"/>
      </top>
      <bottom/>
      <diagonal/>
    </border>
    <border>
      <left/>
      <right/>
      <top style="thin">
        <color indexed="64"/>
      </top>
      <bottom style="thin">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style="medium">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s>
  <cellStyleXfs count="4">
    <xf numFmtId="0" fontId="0" fillId="0" borderId="0"/>
    <xf numFmtId="0" fontId="15" fillId="0" borderId="0" applyNumberFormat="0" applyFill="0" applyBorder="0" applyAlignment="0" applyProtection="0"/>
    <xf numFmtId="0" fontId="16" fillId="0" borderId="0"/>
    <xf numFmtId="0" fontId="29" fillId="0" borderId="0"/>
  </cellStyleXfs>
  <cellXfs count="417">
    <xf numFmtId="0" fontId="0" fillId="0" borderId="0" xfId="0"/>
    <xf numFmtId="0" fontId="0" fillId="3" borderId="7" xfId="0" applyFill="1" applyBorder="1" applyAlignment="1">
      <alignment horizontal="left" vertical="center" wrapText="1"/>
    </xf>
    <xf numFmtId="0" fontId="0" fillId="0" borderId="9" xfId="0" applyBorder="1" applyAlignment="1">
      <alignment horizontal="center" vertical="center"/>
    </xf>
    <xf numFmtId="0" fontId="0" fillId="0" borderId="6" xfId="0" applyBorder="1" applyAlignment="1">
      <alignment horizontal="center" vertical="center"/>
    </xf>
    <xf numFmtId="0" fontId="0" fillId="0" borderId="3" xfId="0" applyBorder="1" applyAlignment="1">
      <alignment horizontal="center" vertical="center"/>
    </xf>
    <xf numFmtId="0" fontId="2" fillId="0" borderId="0" xfId="0" applyFont="1"/>
    <xf numFmtId="0" fontId="2" fillId="0" borderId="14" xfId="0" applyFont="1" applyBorder="1" applyAlignment="1">
      <alignment vertical="top"/>
    </xf>
    <xf numFmtId="0" fontId="2" fillId="0" borderId="15" xfId="0" applyFont="1" applyBorder="1" applyAlignment="1">
      <alignment vertical="top"/>
    </xf>
    <xf numFmtId="0" fontId="0" fillId="0" borderId="16" xfId="0" applyBorder="1" applyAlignment="1">
      <alignment vertical="top"/>
    </xf>
    <xf numFmtId="0" fontId="2" fillId="0" borderId="17" xfId="0" applyFont="1" applyBorder="1" applyAlignment="1">
      <alignment vertical="top"/>
    </xf>
    <xf numFmtId="0" fontId="2" fillId="0" borderId="0" xfId="0" applyFont="1" applyAlignment="1">
      <alignment vertical="top"/>
    </xf>
    <xf numFmtId="0" fontId="0" fillId="0" borderId="0" xfId="0" applyAlignment="1">
      <alignment vertical="top"/>
    </xf>
    <xf numFmtId="0" fontId="0" fillId="0" borderId="18" xfId="0" applyBorder="1" applyAlignment="1">
      <alignment vertical="top"/>
    </xf>
    <xf numFmtId="0" fontId="2" fillId="0" borderId="18" xfId="0" applyFont="1" applyBorder="1" applyAlignment="1">
      <alignment vertical="top"/>
    </xf>
    <xf numFmtId="0" fontId="0" fillId="0" borderId="17" xfId="0" applyBorder="1" applyAlignment="1">
      <alignment vertical="top"/>
    </xf>
    <xf numFmtId="0" fontId="6" fillId="0" borderId="0" xfId="0" applyFont="1" applyAlignment="1">
      <alignment vertical="top" wrapText="1"/>
    </xf>
    <xf numFmtId="0" fontId="6" fillId="0" borderId="0" xfId="0" applyFont="1"/>
    <xf numFmtId="0" fontId="8" fillId="0" borderId="0" xfId="0" applyFont="1" applyAlignment="1">
      <alignment vertical="center"/>
    </xf>
    <xf numFmtId="0" fontId="8" fillId="0" borderId="17" xfId="0" applyFont="1" applyBorder="1" applyAlignment="1">
      <alignment vertical="top"/>
    </xf>
    <xf numFmtId="0" fontId="8" fillId="0" borderId="0" xfId="0" applyFont="1" applyAlignment="1">
      <alignment vertical="top"/>
    </xf>
    <xf numFmtId="0" fontId="2" fillId="0" borderId="0" xfId="0" applyFont="1" applyAlignment="1">
      <alignment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horizontal="left" vertical="center" wrapText="1"/>
    </xf>
    <xf numFmtId="0" fontId="0" fillId="0" borderId="0" xfId="0" applyAlignment="1">
      <alignment wrapText="1"/>
    </xf>
    <xf numFmtId="0" fontId="0" fillId="0" borderId="0" xfId="0" applyAlignment="1">
      <alignment horizontal="left" wrapText="1"/>
    </xf>
    <xf numFmtId="2" fontId="0" fillId="4" borderId="0" xfId="0" applyNumberFormat="1" applyFill="1"/>
    <xf numFmtId="0" fontId="0" fillId="0" borderId="0" xfId="0" applyAlignment="1">
      <alignment horizontal="center" vertical="center"/>
    </xf>
    <xf numFmtId="0" fontId="3" fillId="0" borderId="7" xfId="0" applyFont="1" applyBorder="1" applyAlignment="1">
      <alignment horizontal="left" vertical="center" wrapText="1"/>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0" fillId="0" borderId="8" xfId="0" applyBorder="1" applyAlignment="1">
      <alignment horizontal="center" vertical="center"/>
    </xf>
    <xf numFmtId="0" fontId="0" fillId="0" borderId="11" xfId="0" applyBorder="1" applyAlignment="1">
      <alignment horizontal="center" vertical="center"/>
    </xf>
    <xf numFmtId="0" fontId="14" fillId="0" borderId="6" xfId="0" applyFont="1" applyBorder="1" applyAlignment="1">
      <alignment horizontal="center" vertical="center"/>
    </xf>
    <xf numFmtId="0" fontId="15" fillId="0" borderId="8" xfId="1" applyBorder="1" applyAlignment="1">
      <alignment horizontal="center" vertical="center"/>
    </xf>
    <xf numFmtId="0" fontId="0" fillId="0" borderId="3" xfId="0" applyBorder="1" applyAlignment="1">
      <alignment horizontal="center" vertical="center" wrapText="1"/>
    </xf>
    <xf numFmtId="0" fontId="15" fillId="0" borderId="7" xfId="1" applyBorder="1"/>
    <xf numFmtId="0" fontId="15" fillId="0" borderId="7" xfId="1" applyFill="1" applyBorder="1"/>
    <xf numFmtId="2" fontId="0" fillId="0" borderId="7" xfId="0" applyNumberFormat="1" applyBorder="1" applyAlignment="1">
      <alignment horizontal="center" vertical="center"/>
    </xf>
    <xf numFmtId="0" fontId="15" fillId="0" borderId="10" xfId="1" applyFill="1" applyBorder="1"/>
    <xf numFmtId="2" fontId="0" fillId="0" borderId="10" xfId="0" applyNumberFormat="1" applyBorder="1" applyAlignment="1">
      <alignment horizontal="center" vertical="center"/>
    </xf>
    <xf numFmtId="0" fontId="13" fillId="5" borderId="3" xfId="0" applyFont="1" applyFill="1" applyBorder="1" applyAlignment="1">
      <alignment horizontal="center" vertical="center"/>
    </xf>
    <xf numFmtId="0" fontId="13" fillId="5" borderId="4" xfId="0" applyFont="1" applyFill="1" applyBorder="1" applyAlignment="1">
      <alignment horizontal="center" vertical="center"/>
    </xf>
    <xf numFmtId="0" fontId="13" fillId="5" borderId="5" xfId="0" applyFont="1" applyFill="1" applyBorder="1" applyAlignment="1">
      <alignment horizontal="center" vertical="center"/>
    </xf>
    <xf numFmtId="0" fontId="10" fillId="4" borderId="23" xfId="0" applyFont="1" applyFill="1" applyBorder="1" applyAlignment="1">
      <alignment horizontal="center" vertical="center" wrapText="1"/>
    </xf>
    <xf numFmtId="2" fontId="10" fillId="4" borderId="24" xfId="0" applyNumberFormat="1" applyFont="1" applyFill="1" applyBorder="1" applyAlignment="1">
      <alignment horizontal="center" vertical="center" wrapText="1"/>
    </xf>
    <xf numFmtId="0" fontId="1" fillId="0" borderId="0" xfId="0" applyFont="1"/>
    <xf numFmtId="0" fontId="1" fillId="2" borderId="1" xfId="0" applyFont="1" applyFill="1" applyBorder="1" applyAlignment="1">
      <alignment horizontal="center" vertical="center" wrapText="1"/>
    </xf>
    <xf numFmtId="0" fontId="0" fillId="0" borderId="7" xfId="0" applyBorder="1" applyAlignment="1">
      <alignment horizontal="center" wrapText="1"/>
    </xf>
    <xf numFmtId="0" fontId="0" fillId="0" borderId="10" xfId="0" applyBorder="1" applyAlignment="1">
      <alignment horizontal="center" wrapText="1"/>
    </xf>
    <xf numFmtId="0" fontId="1" fillId="0" borderId="4" xfId="0" applyFont="1" applyBorder="1" applyAlignment="1">
      <alignment horizontal="left" vertical="center" wrapText="1"/>
    </xf>
    <xf numFmtId="0" fontId="1" fillId="0" borderId="7" xfId="0" applyFont="1" applyBorder="1" applyAlignment="1">
      <alignment horizontal="left" vertical="center" wrapText="1"/>
    </xf>
    <xf numFmtId="0" fontId="17" fillId="0" borderId="7" xfId="0" applyFont="1" applyBorder="1" applyAlignment="1">
      <alignment vertical="center" wrapText="1"/>
    </xf>
    <xf numFmtId="0" fontId="1" fillId="0" borderId="4" xfId="0" applyFont="1" applyBorder="1" applyAlignment="1">
      <alignment vertical="center" wrapText="1"/>
    </xf>
    <xf numFmtId="0" fontId="0" fillId="3" borderId="7" xfId="0" applyFill="1" applyBorder="1" applyAlignment="1">
      <alignment horizontal="center" vertical="center" wrapText="1"/>
    </xf>
    <xf numFmtId="0" fontId="0" fillId="3" borderId="4" xfId="0" applyFill="1" applyBorder="1" applyAlignment="1">
      <alignment horizontal="center" vertical="center" wrapText="1"/>
    </xf>
    <xf numFmtId="0" fontId="3" fillId="3" borderId="10" xfId="0" applyFont="1" applyFill="1" applyBorder="1" applyAlignment="1">
      <alignment horizontal="center" vertical="center" wrapText="1"/>
    </xf>
    <xf numFmtId="0" fontId="3" fillId="3" borderId="7" xfId="0" applyFont="1" applyFill="1" applyBorder="1" applyAlignment="1">
      <alignment horizontal="center" vertical="center" wrapText="1"/>
    </xf>
    <xf numFmtId="0" fontId="0" fillId="3" borderId="10" xfId="0" applyFill="1" applyBorder="1" applyAlignment="1">
      <alignment horizontal="center" vertical="center" wrapText="1"/>
    </xf>
    <xf numFmtId="0" fontId="0" fillId="3" borderId="7" xfId="0" applyFill="1" applyBorder="1" applyAlignment="1">
      <alignment horizontal="center" vertical="center"/>
    </xf>
    <xf numFmtId="0" fontId="3" fillId="0" borderId="10" xfId="0" applyFont="1" applyBorder="1" applyAlignment="1">
      <alignment horizontal="center" vertical="center" wrapText="1"/>
    </xf>
    <xf numFmtId="0" fontId="0" fillId="0" borderId="0" xfId="0" applyAlignment="1">
      <alignment horizontal="center" wrapText="1"/>
    </xf>
    <xf numFmtId="0" fontId="1" fillId="2" borderId="7" xfId="0" applyFont="1" applyFill="1" applyBorder="1" applyAlignment="1">
      <alignment horizontal="center" vertical="center" wrapText="1"/>
    </xf>
    <xf numFmtId="0" fontId="18" fillId="0" borderId="0" xfId="0" applyFont="1" applyAlignment="1">
      <alignment horizontal="center"/>
    </xf>
    <xf numFmtId="0" fontId="18" fillId="0" borderId="0" xfId="0" applyFont="1" applyAlignment="1">
      <alignment horizontal="center" vertical="center"/>
    </xf>
    <xf numFmtId="0" fontId="19" fillId="2" borderId="7" xfId="0" applyFont="1" applyFill="1" applyBorder="1" applyAlignment="1">
      <alignment horizontal="center" vertical="center" wrapText="1"/>
    </xf>
    <xf numFmtId="0" fontId="18" fillId="0" borderId="0" xfId="0" applyFont="1"/>
    <xf numFmtId="2" fontId="5" fillId="0" borderId="0" xfId="0" applyNumberFormat="1" applyFont="1" applyAlignment="1">
      <alignment vertical="center" wrapText="1"/>
    </xf>
    <xf numFmtId="0" fontId="0" fillId="0" borderId="7" xfId="0" applyBorder="1" applyAlignment="1">
      <alignment horizontal="left" wrapText="1"/>
    </xf>
    <xf numFmtId="0" fontId="0" fillId="0" borderId="10" xfId="0" applyBorder="1" applyAlignment="1">
      <alignment horizontal="left" wrapText="1"/>
    </xf>
    <xf numFmtId="0" fontId="0" fillId="0" borderId="4" xfId="0" applyBorder="1" applyAlignment="1">
      <alignment horizontal="center" wrapText="1"/>
    </xf>
    <xf numFmtId="0" fontId="12" fillId="0" borderId="7" xfId="0" applyFont="1" applyBorder="1" applyAlignment="1">
      <alignment vertical="center" wrapText="1"/>
    </xf>
    <xf numFmtId="0" fontId="3" fillId="0" borderId="4" xfId="0" applyFont="1" applyBorder="1" applyAlignment="1">
      <alignment horizontal="center" vertical="center" wrapText="1"/>
    </xf>
    <xf numFmtId="0" fontId="0" fillId="0" borderId="6" xfId="0" applyBorder="1" applyAlignment="1">
      <alignment horizontal="center" vertical="center" wrapText="1"/>
    </xf>
    <xf numFmtId="0" fontId="0" fillId="0" borderId="9" xfId="0" applyBorder="1" applyAlignment="1">
      <alignment horizontal="center" vertical="center" wrapText="1"/>
    </xf>
    <xf numFmtId="0" fontId="3" fillId="0" borderId="4" xfId="0" applyFont="1" applyBorder="1" applyAlignment="1">
      <alignment horizontal="center" wrapText="1"/>
    </xf>
    <xf numFmtId="0" fontId="4" fillId="0" borderId="4" xfId="0" applyFont="1" applyBorder="1" applyAlignment="1">
      <alignment horizontal="center" vertical="center" wrapText="1"/>
    </xf>
    <xf numFmtId="0" fontId="11" fillId="3" borderId="7" xfId="0" applyFont="1" applyFill="1" applyBorder="1" applyAlignment="1">
      <alignment horizontal="center" vertical="center" wrapText="1"/>
    </xf>
    <xf numFmtId="0" fontId="0" fillId="0" borderId="26" xfId="0" applyBorder="1" applyAlignment="1">
      <alignment horizontal="center" vertical="center" wrapText="1"/>
    </xf>
    <xf numFmtId="0" fontId="0" fillId="0" borderId="27" xfId="0" applyBorder="1" applyAlignment="1">
      <alignment horizontal="center" vertical="center" wrapText="1"/>
    </xf>
    <xf numFmtId="0" fontId="1" fillId="2" borderId="23" xfId="0" applyFont="1" applyFill="1" applyBorder="1" applyAlignment="1">
      <alignment horizontal="center" vertical="center" wrapText="1"/>
    </xf>
    <xf numFmtId="2" fontId="0" fillId="0" borderId="0" xfId="0" applyNumberFormat="1" applyAlignment="1">
      <alignment wrapText="1"/>
    </xf>
    <xf numFmtId="2" fontId="20" fillId="0" borderId="0" xfId="0" applyNumberFormat="1" applyFont="1" applyAlignment="1">
      <alignment vertical="center" wrapText="1"/>
    </xf>
    <xf numFmtId="2" fontId="0" fillId="0" borderId="0" xfId="0" applyNumberFormat="1" applyAlignment="1">
      <alignment vertical="center" wrapText="1"/>
    </xf>
    <xf numFmtId="2" fontId="21" fillId="0" borderId="0" xfId="0" applyNumberFormat="1" applyFont="1" applyAlignment="1">
      <alignment horizontal="right" vertical="center" wrapText="1"/>
    </xf>
    <xf numFmtId="9" fontId="21" fillId="0" borderId="0" xfId="0" applyNumberFormat="1" applyFont="1" applyAlignment="1">
      <alignment horizontal="center" vertical="center" wrapText="1"/>
    </xf>
    <xf numFmtId="0" fontId="0" fillId="0" borderId="29" xfId="0" applyBorder="1" applyAlignment="1">
      <alignment horizontal="center" vertical="center" wrapText="1"/>
    </xf>
    <xf numFmtId="0" fontId="1" fillId="2" borderId="22" xfId="0" applyFont="1" applyFill="1" applyBorder="1" applyAlignment="1">
      <alignment horizontal="center" vertical="center" wrapText="1"/>
    </xf>
    <xf numFmtId="0" fontId="1" fillId="2" borderId="24" xfId="0" applyFont="1" applyFill="1" applyBorder="1" applyAlignment="1">
      <alignment horizontal="center" vertical="center" wrapText="1"/>
    </xf>
    <xf numFmtId="0" fontId="0" fillId="0" borderId="0" xfId="0" applyAlignment="1">
      <alignment horizontal="right" vertical="center"/>
    </xf>
    <xf numFmtId="9" fontId="0" fillId="0" borderId="0" xfId="0" applyNumberFormat="1" applyAlignment="1">
      <alignment horizontal="center" vertical="center"/>
    </xf>
    <xf numFmtId="9" fontId="0" fillId="0" borderId="0" xfId="0" applyNumberFormat="1"/>
    <xf numFmtId="0" fontId="0" fillId="0" borderId="31" xfId="0" applyBorder="1" applyAlignment="1">
      <alignment horizontal="center" vertical="center" wrapText="1"/>
    </xf>
    <xf numFmtId="0" fontId="22" fillId="0" borderId="0" xfId="0" applyFont="1" applyAlignment="1">
      <alignment horizontal="center" vertical="center"/>
    </xf>
    <xf numFmtId="0" fontId="0" fillId="0" borderId="33" xfId="0" applyBorder="1" applyAlignment="1">
      <alignment horizontal="center" vertical="center" wrapText="1"/>
    </xf>
    <xf numFmtId="0" fontId="0" fillId="3" borderId="30" xfId="0" applyFill="1" applyBorder="1" applyAlignment="1">
      <alignment horizontal="center" vertical="center" wrapText="1"/>
    </xf>
    <xf numFmtId="0" fontId="1" fillId="0" borderId="7" xfId="0" applyFont="1" applyBorder="1" applyAlignment="1">
      <alignment vertical="center" wrapText="1"/>
    </xf>
    <xf numFmtId="0" fontId="20" fillId="0" borderId="0" xfId="0" applyFont="1" applyAlignment="1">
      <alignment vertical="center"/>
    </xf>
    <xf numFmtId="0" fontId="0" fillId="3" borderId="28" xfId="0" applyFill="1" applyBorder="1" applyAlignment="1">
      <alignment horizontal="center" vertical="center" wrapText="1"/>
    </xf>
    <xf numFmtId="0" fontId="0" fillId="0" borderId="36" xfId="0" applyBorder="1" applyAlignment="1">
      <alignment horizontal="center" vertical="center" wrapText="1"/>
    </xf>
    <xf numFmtId="0" fontId="1" fillId="2" borderId="2" xfId="0" applyFont="1" applyFill="1" applyBorder="1" applyAlignment="1">
      <alignment horizontal="center" vertical="center" wrapText="1"/>
    </xf>
    <xf numFmtId="0" fontId="14" fillId="0" borderId="7" xfId="0" applyFont="1" applyBorder="1" applyAlignment="1">
      <alignment horizontal="left" vertical="center" indent="1"/>
    </xf>
    <xf numFmtId="0" fontId="0" fillId="0" borderId="0" xfId="0" applyAlignment="1">
      <alignment horizontal="left" vertical="center" indent="2"/>
    </xf>
    <xf numFmtId="0" fontId="23" fillId="0" borderId="0" xfId="0" applyFont="1" applyAlignment="1">
      <alignment wrapText="1"/>
    </xf>
    <xf numFmtId="2" fontId="0" fillId="0" borderId="8" xfId="0" applyNumberFormat="1" applyBorder="1" applyAlignment="1">
      <alignment horizontal="center" vertical="center"/>
    </xf>
    <xf numFmtId="0" fontId="1" fillId="2" borderId="44" xfId="0" applyFont="1" applyFill="1" applyBorder="1" applyAlignment="1">
      <alignment horizontal="center" vertical="center" wrapText="1"/>
    </xf>
    <xf numFmtId="0" fontId="0" fillId="0" borderId="31" xfId="0" applyBorder="1" applyAlignment="1">
      <alignment horizontal="center" vertical="center"/>
    </xf>
    <xf numFmtId="0" fontId="0" fillId="0" borderId="39" xfId="0" applyBorder="1" applyAlignment="1">
      <alignment horizontal="center" vertical="center" wrapText="1"/>
    </xf>
    <xf numFmtId="0" fontId="0" fillId="0" borderId="46" xfId="0" applyBorder="1" applyAlignment="1">
      <alignment horizontal="center" vertical="center" wrapText="1"/>
    </xf>
    <xf numFmtId="0" fontId="17" fillId="0" borderId="7" xfId="0" applyFont="1" applyBorder="1" applyAlignment="1">
      <alignment horizontal="left" vertical="center" wrapText="1"/>
    </xf>
    <xf numFmtId="0" fontId="0" fillId="0" borderId="36" xfId="0" applyBorder="1" applyAlignment="1">
      <alignment horizontal="center" vertical="center"/>
    </xf>
    <xf numFmtId="0" fontId="0" fillId="3" borderId="12" xfId="0" applyFill="1" applyBorder="1" applyAlignment="1">
      <alignment horizontal="center" vertical="center" wrapText="1"/>
    </xf>
    <xf numFmtId="0" fontId="0" fillId="0" borderId="4" xfId="0" applyBorder="1" applyAlignment="1">
      <alignment horizontal="center" vertical="center"/>
    </xf>
    <xf numFmtId="0" fontId="0" fillId="0" borderId="7" xfId="0" applyBorder="1" applyAlignment="1">
      <alignment horizontal="center" vertical="center"/>
    </xf>
    <xf numFmtId="0" fontId="0" fillId="0" borderId="10" xfId="0" applyBorder="1" applyAlignment="1">
      <alignment horizontal="center" vertical="center"/>
    </xf>
    <xf numFmtId="0" fontId="0" fillId="0" borderId="12" xfId="0" applyBorder="1" applyAlignment="1">
      <alignment horizontal="center" vertical="center"/>
    </xf>
    <xf numFmtId="2" fontId="5" fillId="3" borderId="0" xfId="0" applyNumberFormat="1" applyFont="1" applyFill="1"/>
    <xf numFmtId="0" fontId="0" fillId="0" borderId="28" xfId="0" applyBorder="1" applyAlignment="1">
      <alignment horizontal="center" wrapText="1"/>
    </xf>
    <xf numFmtId="0" fontId="0" fillId="0" borderId="12" xfId="0" applyBorder="1" applyAlignment="1">
      <alignment horizontal="center" wrapText="1"/>
    </xf>
    <xf numFmtId="0" fontId="0" fillId="3" borderId="9" xfId="0" applyFill="1" applyBorder="1" applyAlignment="1">
      <alignment horizontal="center" vertical="center" wrapText="1"/>
    </xf>
    <xf numFmtId="2" fontId="0" fillId="3" borderId="10" xfId="0" applyNumberFormat="1" applyFill="1" applyBorder="1" applyAlignment="1">
      <alignment horizontal="center" vertical="center" wrapText="1"/>
    </xf>
    <xf numFmtId="0" fontId="0" fillId="3" borderId="0" xfId="0" applyFill="1" applyAlignment="1">
      <alignment horizontal="center" vertical="center" wrapText="1"/>
    </xf>
    <xf numFmtId="0" fontId="0" fillId="3" borderId="0" xfId="0" applyFill="1" applyAlignment="1">
      <alignment wrapText="1"/>
    </xf>
    <xf numFmtId="0" fontId="0" fillId="0" borderId="49" xfId="0" applyBorder="1" applyAlignment="1">
      <alignment vertical="center" wrapText="1"/>
    </xf>
    <xf numFmtId="0" fontId="0" fillId="3" borderId="1" xfId="0" applyFill="1" applyBorder="1" applyAlignment="1">
      <alignment horizontal="center" vertical="center" wrapText="1"/>
    </xf>
    <xf numFmtId="0" fontId="1" fillId="2" borderId="30" xfId="0" applyFont="1" applyFill="1" applyBorder="1" applyAlignment="1">
      <alignment horizontal="center" vertical="center" wrapText="1"/>
    </xf>
    <xf numFmtId="0" fontId="0" fillId="0" borderId="20" xfId="0" applyBorder="1" applyAlignment="1">
      <alignment vertical="center" wrapText="1"/>
    </xf>
    <xf numFmtId="0" fontId="0" fillId="0" borderId="20" xfId="0" applyBorder="1" applyAlignment="1">
      <alignment wrapText="1"/>
    </xf>
    <xf numFmtId="0" fontId="0" fillId="0" borderId="50" xfId="0" applyBorder="1" applyAlignment="1">
      <alignment horizontal="left" wrapText="1"/>
    </xf>
    <xf numFmtId="0" fontId="0" fillId="0" borderId="50" xfId="0" applyBorder="1" applyAlignment="1">
      <alignment wrapText="1"/>
    </xf>
    <xf numFmtId="0" fontId="0" fillId="0" borderId="20" xfId="0" applyBorder="1" applyAlignment="1">
      <alignment horizontal="center" wrapText="1"/>
    </xf>
    <xf numFmtId="0" fontId="0" fillId="0" borderId="7" xfId="0" applyBorder="1" applyAlignment="1">
      <alignment horizontal="left" vertical="top" wrapText="1"/>
    </xf>
    <xf numFmtId="0" fontId="1" fillId="0" borderId="38" xfId="0" applyFont="1" applyBorder="1" applyAlignment="1">
      <alignment vertical="center"/>
    </xf>
    <xf numFmtId="0" fontId="1" fillId="0" borderId="52" xfId="0" applyFont="1" applyBorder="1" applyAlignment="1">
      <alignment horizontal="center" vertical="center"/>
    </xf>
    <xf numFmtId="2" fontId="1" fillId="0" borderId="51" xfId="0" applyNumberFormat="1" applyFont="1" applyBorder="1" applyAlignment="1">
      <alignment horizontal="center" vertical="center"/>
    </xf>
    <xf numFmtId="0" fontId="0" fillId="3" borderId="29" xfId="0" applyFill="1" applyBorder="1" applyAlignment="1">
      <alignment horizontal="center" vertical="center" wrapText="1"/>
    </xf>
    <xf numFmtId="0" fontId="0" fillId="0" borderId="4" xfId="0" applyBorder="1" applyAlignment="1">
      <alignment horizontal="left" vertical="top" wrapText="1"/>
    </xf>
    <xf numFmtId="0" fontId="12" fillId="3" borderId="4" xfId="0" applyFont="1" applyFill="1" applyBorder="1" applyAlignment="1">
      <alignment horizontal="center" vertical="center" wrapText="1"/>
    </xf>
    <xf numFmtId="0" fontId="27" fillId="0" borderId="7" xfId="0" applyFont="1" applyBorder="1" applyAlignment="1">
      <alignment vertical="center" wrapText="1"/>
    </xf>
    <xf numFmtId="0" fontId="12" fillId="0" borderId="10" xfId="0" applyFont="1" applyBorder="1" applyAlignment="1">
      <alignment vertical="center" wrapText="1"/>
    </xf>
    <xf numFmtId="0" fontId="1" fillId="0" borderId="7" xfId="0" applyFont="1" applyBorder="1" applyAlignment="1">
      <alignment horizontal="left" vertical="top" wrapText="1"/>
    </xf>
    <xf numFmtId="0" fontId="0" fillId="0" borderId="10" xfId="0" applyBorder="1" applyAlignment="1">
      <alignment horizontal="left" vertical="top" wrapText="1"/>
    </xf>
    <xf numFmtId="0" fontId="1" fillId="0" borderId="28" xfId="0" applyFont="1" applyBorder="1" applyAlignment="1">
      <alignment horizontal="left" vertical="top" wrapText="1"/>
    </xf>
    <xf numFmtId="0" fontId="0" fillId="0" borderId="12" xfId="0" applyBorder="1" applyAlignment="1">
      <alignment horizontal="left" vertical="top" wrapText="1"/>
    </xf>
    <xf numFmtId="0" fontId="0" fillId="0" borderId="28" xfId="0" applyBorder="1" applyAlignment="1">
      <alignment horizontal="left" vertical="top" wrapText="1"/>
    </xf>
    <xf numFmtId="0" fontId="1" fillId="0" borderId="12" xfId="0" applyFont="1" applyBorder="1" applyAlignment="1">
      <alignment horizontal="left" vertical="center" wrapText="1"/>
    </xf>
    <xf numFmtId="0" fontId="1" fillId="0" borderId="28" xfId="0" applyFont="1" applyBorder="1" applyAlignment="1">
      <alignment horizontal="left" vertical="center" wrapText="1"/>
    </xf>
    <xf numFmtId="0" fontId="12" fillId="0" borderId="4" xfId="0" applyFont="1" applyBorder="1" applyAlignment="1">
      <alignment vertical="center" wrapText="1"/>
    </xf>
    <xf numFmtId="0" fontId="0" fillId="0" borderId="42" xfId="0" applyBorder="1" applyAlignment="1">
      <alignment horizontal="center" vertical="center" wrapText="1"/>
    </xf>
    <xf numFmtId="0" fontId="0" fillId="3" borderId="6" xfId="0" applyFill="1" applyBorder="1" applyAlignment="1">
      <alignment horizontal="center" vertical="center" wrapText="1"/>
    </xf>
    <xf numFmtId="2" fontId="0" fillId="3" borderId="28" xfId="0" applyNumberFormat="1" applyFill="1" applyBorder="1" applyAlignment="1">
      <alignment horizontal="center" vertical="center" wrapText="1"/>
    </xf>
    <xf numFmtId="2" fontId="0" fillId="3" borderId="7" xfId="0" applyNumberFormat="1" applyFill="1" applyBorder="1" applyAlignment="1">
      <alignment horizontal="center" vertical="center" wrapText="1"/>
    </xf>
    <xf numFmtId="0" fontId="0" fillId="3" borderId="6" xfId="0" applyFill="1" applyBorder="1" applyAlignment="1">
      <alignment horizontal="center" vertical="center"/>
    </xf>
    <xf numFmtId="0" fontId="3" fillId="3" borderId="4" xfId="0" applyFont="1" applyFill="1" applyBorder="1" applyAlignment="1">
      <alignment horizontal="center" vertical="center" wrapText="1"/>
    </xf>
    <xf numFmtId="2" fontId="0" fillId="3" borderId="4" xfId="0" applyNumberFormat="1" applyFill="1" applyBorder="1" applyAlignment="1">
      <alignment horizontal="center" vertical="center" wrapText="1"/>
    </xf>
    <xf numFmtId="0" fontId="0" fillId="3" borderId="9" xfId="0" applyFill="1" applyBorder="1" applyAlignment="1">
      <alignment horizontal="center" vertical="center"/>
    </xf>
    <xf numFmtId="0" fontId="1" fillId="2" borderId="25" xfId="0" applyFont="1" applyFill="1" applyBorder="1" applyAlignment="1">
      <alignment horizontal="center" vertical="center" wrapText="1"/>
    </xf>
    <xf numFmtId="0" fontId="0" fillId="3" borderId="31" xfId="0" applyFill="1" applyBorder="1" applyAlignment="1">
      <alignment horizontal="center" vertical="center"/>
    </xf>
    <xf numFmtId="0" fontId="2" fillId="0" borderId="0" xfId="0" applyFont="1" applyAlignment="1">
      <alignment horizontal="center" wrapText="1"/>
    </xf>
    <xf numFmtId="0" fontId="3" fillId="3" borderId="28" xfId="0" applyFont="1" applyFill="1" applyBorder="1" applyAlignment="1">
      <alignment horizontal="center" vertical="center" wrapText="1"/>
    </xf>
    <xf numFmtId="0" fontId="0" fillId="0" borderId="53" xfId="0" applyBorder="1" applyAlignment="1">
      <alignment horizontal="center" vertical="center" wrapText="1"/>
    </xf>
    <xf numFmtId="0" fontId="0" fillId="0" borderId="1" xfId="0" applyBorder="1" applyAlignment="1">
      <alignment horizontal="center" vertical="center"/>
    </xf>
    <xf numFmtId="2" fontId="0" fillId="0" borderId="2" xfId="0" applyNumberFormat="1" applyBorder="1" applyAlignment="1">
      <alignment horizontal="center" vertical="center" wrapText="1"/>
    </xf>
    <xf numFmtId="2" fontId="0" fillId="0" borderId="37" xfId="0" applyNumberFormat="1" applyBorder="1" applyAlignment="1">
      <alignment horizontal="center" vertical="center" wrapText="1"/>
    </xf>
    <xf numFmtId="2" fontId="0" fillId="0" borderId="11" xfId="0" applyNumberFormat="1" applyBorder="1" applyAlignment="1">
      <alignment horizontal="center" vertical="center" wrapText="1"/>
    </xf>
    <xf numFmtId="0" fontId="0" fillId="0" borderId="54" xfId="0" applyBorder="1" applyAlignment="1">
      <alignment horizontal="center" vertical="center" wrapText="1"/>
    </xf>
    <xf numFmtId="0" fontId="0" fillId="3" borderId="36" xfId="0" applyFill="1" applyBorder="1" applyAlignment="1">
      <alignment horizontal="center" vertical="center"/>
    </xf>
    <xf numFmtId="2" fontId="0" fillId="0" borderId="39" xfId="0" applyNumberFormat="1" applyBorder="1" applyAlignment="1">
      <alignment horizontal="center" vertical="center" wrapText="1"/>
    </xf>
    <xf numFmtId="2" fontId="0" fillId="0" borderId="26" xfId="0" applyNumberFormat="1" applyBorder="1" applyAlignment="1">
      <alignment horizontal="center" vertical="center" wrapText="1"/>
    </xf>
    <xf numFmtId="2" fontId="0" fillId="0" borderId="27" xfId="0" applyNumberFormat="1" applyBorder="1" applyAlignment="1">
      <alignment horizontal="center" vertical="center" wrapText="1"/>
    </xf>
    <xf numFmtId="0" fontId="0" fillId="0" borderId="22" xfId="0" applyBorder="1" applyAlignment="1">
      <alignment horizontal="center" vertical="center" wrapText="1"/>
    </xf>
    <xf numFmtId="0" fontId="0" fillId="3" borderId="23" xfId="0" applyFill="1" applyBorder="1" applyAlignment="1">
      <alignment horizontal="center" vertical="center" wrapText="1"/>
    </xf>
    <xf numFmtId="0" fontId="0" fillId="0" borderId="23" xfId="0" applyBorder="1" applyAlignment="1">
      <alignment horizontal="center" vertical="center" wrapText="1"/>
    </xf>
    <xf numFmtId="0" fontId="0" fillId="0" borderId="56" xfId="0" applyBorder="1" applyAlignment="1">
      <alignment horizontal="center" vertical="center" wrapText="1"/>
    </xf>
    <xf numFmtId="2" fontId="0" fillId="0" borderId="23" xfId="0" applyNumberFormat="1" applyBorder="1" applyAlignment="1">
      <alignment horizontal="center" vertical="center" wrapText="1"/>
    </xf>
    <xf numFmtId="2" fontId="0" fillId="0" borderId="25" xfId="0" applyNumberFormat="1" applyBorder="1" applyAlignment="1">
      <alignment horizontal="center" vertical="center" wrapText="1"/>
    </xf>
    <xf numFmtId="0" fontId="0" fillId="0" borderId="24" xfId="0" applyBorder="1" applyAlignment="1">
      <alignment horizontal="center" vertical="center" wrapText="1"/>
    </xf>
    <xf numFmtId="0" fontId="0" fillId="0" borderId="4" xfId="0" applyBorder="1" applyAlignment="1">
      <alignment horizontal="left" wrapText="1"/>
    </xf>
    <xf numFmtId="2" fontId="0" fillId="0" borderId="33" xfId="0" applyNumberFormat="1" applyBorder="1" applyAlignment="1">
      <alignment horizontal="center" vertical="center" wrapText="1"/>
    </xf>
    <xf numFmtId="0" fontId="3" fillId="0" borderId="7" xfId="0" applyFont="1" applyBorder="1" applyAlignment="1">
      <alignment horizontal="center" vertical="center" wrapText="1"/>
    </xf>
    <xf numFmtId="0" fontId="0" fillId="0" borderId="4" xfId="0" applyBorder="1" applyAlignment="1">
      <alignment vertical="center" wrapText="1"/>
    </xf>
    <xf numFmtId="0" fontId="0" fillId="0" borderId="7" xfId="0" applyBorder="1" applyAlignment="1">
      <alignment vertical="center" wrapText="1"/>
    </xf>
    <xf numFmtId="0" fontId="0" fillId="0" borderId="10" xfId="0" applyBorder="1" applyAlignment="1">
      <alignment vertical="center" wrapText="1"/>
    </xf>
    <xf numFmtId="0" fontId="0" fillId="0" borderId="12" xfId="0" applyBorder="1" applyAlignment="1">
      <alignment vertical="center" wrapText="1"/>
    </xf>
    <xf numFmtId="0" fontId="1" fillId="0" borderId="28" xfId="0" applyFont="1" applyBorder="1" applyAlignment="1">
      <alignment horizontal="center" vertical="center" wrapText="1"/>
    </xf>
    <xf numFmtId="0" fontId="1" fillId="0" borderId="7" xfId="0" applyFont="1" applyBorder="1" applyAlignment="1">
      <alignment horizontal="center" vertical="center" wrapText="1"/>
    </xf>
    <xf numFmtId="0" fontId="1" fillId="0" borderId="4" xfId="0" applyFont="1" applyBorder="1" applyAlignment="1">
      <alignment horizontal="left" vertical="top" wrapText="1"/>
    </xf>
    <xf numFmtId="0" fontId="1" fillId="0" borderId="12" xfId="0" applyFont="1" applyBorder="1" applyAlignment="1">
      <alignment horizontal="center" vertical="center" wrapText="1"/>
    </xf>
    <xf numFmtId="0" fontId="0" fillId="0" borderId="0" xfId="0" applyAlignment="1">
      <alignment horizontal="center"/>
    </xf>
    <xf numFmtId="0" fontId="1" fillId="0" borderId="10" xfId="0" applyFont="1" applyBorder="1" applyAlignment="1">
      <alignment horizontal="left" vertical="center" wrapText="1"/>
    </xf>
    <xf numFmtId="0" fontId="3" fillId="0" borderId="7" xfId="0" applyFont="1" applyBorder="1" applyAlignment="1">
      <alignment horizontal="left" wrapText="1"/>
    </xf>
    <xf numFmtId="0" fontId="3" fillId="0" borderId="10" xfId="0" applyFont="1" applyBorder="1" applyAlignment="1">
      <alignment horizontal="left" wrapText="1"/>
    </xf>
    <xf numFmtId="0" fontId="3" fillId="0" borderId="4" xfId="0" applyFont="1" applyBorder="1" applyAlignment="1">
      <alignment horizontal="left" wrapText="1"/>
    </xf>
    <xf numFmtId="0" fontId="0" fillId="0" borderId="12" xfId="0" applyBorder="1" applyAlignment="1">
      <alignment horizontal="left" wrapText="1"/>
    </xf>
    <xf numFmtId="0" fontId="0" fillId="0" borderId="23" xfId="0" applyBorder="1" applyAlignment="1">
      <alignment horizontal="left" vertical="center" wrapText="1"/>
    </xf>
    <xf numFmtId="0" fontId="0" fillId="0" borderId="40" xfId="0" applyBorder="1" applyAlignment="1">
      <alignment horizontal="center" vertical="center" wrapText="1"/>
    </xf>
    <xf numFmtId="0" fontId="0" fillId="0" borderId="41" xfId="0" applyBorder="1" applyAlignment="1">
      <alignment horizontal="center" vertical="center" wrapText="1"/>
    </xf>
    <xf numFmtId="0" fontId="0" fillId="0" borderId="48" xfId="0" applyBorder="1" applyAlignment="1">
      <alignment horizontal="center" vertical="center" wrapText="1"/>
    </xf>
    <xf numFmtId="0" fontId="0" fillId="0" borderId="41" xfId="0" applyBorder="1" applyAlignment="1">
      <alignment horizontal="center" wrapText="1"/>
    </xf>
    <xf numFmtId="2" fontId="0" fillId="0" borderId="29" xfId="0" applyNumberFormat="1" applyBorder="1" applyAlignment="1">
      <alignment horizontal="center" vertical="center" wrapText="1"/>
    </xf>
    <xf numFmtId="0" fontId="0" fillId="0" borderId="40" xfId="0" applyBorder="1" applyAlignment="1">
      <alignment horizontal="center" wrapText="1"/>
    </xf>
    <xf numFmtId="0" fontId="0" fillId="0" borderId="42" xfId="0" applyBorder="1" applyAlignment="1">
      <alignment horizontal="center" wrapText="1"/>
    </xf>
    <xf numFmtId="0" fontId="3" fillId="0" borderId="28" xfId="0" applyFont="1" applyBorder="1" applyAlignment="1">
      <alignment horizontal="left" vertical="center" wrapText="1"/>
    </xf>
    <xf numFmtId="0" fontId="3" fillId="0" borderId="3" xfId="0"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wrapText="1"/>
    </xf>
    <xf numFmtId="0" fontId="0" fillId="6" borderId="0" xfId="0" applyFill="1" applyAlignment="1">
      <alignment wrapText="1"/>
    </xf>
    <xf numFmtId="0" fontId="1" fillId="6" borderId="6" xfId="0" applyFont="1" applyFill="1" applyBorder="1" applyAlignment="1">
      <alignment horizontal="center" wrapText="1"/>
    </xf>
    <xf numFmtId="0" fontId="1" fillId="6" borderId="7" xfId="0" applyFont="1" applyFill="1" applyBorder="1" applyAlignment="1">
      <alignment horizontal="center" wrapText="1"/>
    </xf>
    <xf numFmtId="0" fontId="1" fillId="6" borderId="8" xfId="0" applyFont="1" applyFill="1" applyBorder="1" applyAlignment="1">
      <alignment horizontal="center" wrapText="1"/>
    </xf>
    <xf numFmtId="0" fontId="0" fillId="6" borderId="6" xfId="0" applyFill="1" applyBorder="1" applyAlignment="1">
      <alignment horizontal="center" vertical="center" wrapText="1"/>
    </xf>
    <xf numFmtId="0" fontId="0" fillId="6" borderId="7" xfId="0" applyFill="1" applyBorder="1" applyAlignment="1">
      <alignment horizontal="center" wrapText="1"/>
    </xf>
    <xf numFmtId="0" fontId="0" fillId="6" borderId="8" xfId="0" applyFill="1" applyBorder="1" applyAlignment="1">
      <alignment horizontal="center" wrapText="1"/>
    </xf>
    <xf numFmtId="0" fontId="0" fillId="6" borderId="9" xfId="0" applyFill="1" applyBorder="1" applyAlignment="1">
      <alignment horizontal="center" vertical="center" wrapText="1"/>
    </xf>
    <xf numFmtId="0" fontId="0" fillId="6" borderId="10" xfId="0" applyFill="1" applyBorder="1" applyAlignment="1">
      <alignment horizontal="center" wrapText="1"/>
    </xf>
    <xf numFmtId="0" fontId="0" fillId="6" borderId="11" xfId="0" applyFill="1" applyBorder="1" applyAlignment="1">
      <alignment horizontal="center" wrapText="1"/>
    </xf>
    <xf numFmtId="0" fontId="0" fillId="6" borderId="0" xfId="0" applyFill="1" applyAlignment="1">
      <alignment horizontal="left"/>
    </xf>
    <xf numFmtId="0" fontId="1" fillId="6" borderId="3" xfId="0" applyFont="1" applyFill="1" applyBorder="1" applyAlignment="1">
      <alignment wrapText="1"/>
    </xf>
    <xf numFmtId="0" fontId="1" fillId="6" borderId="5" xfId="0" applyFont="1" applyFill="1" applyBorder="1" applyAlignment="1">
      <alignment wrapText="1"/>
    </xf>
    <xf numFmtId="0" fontId="0" fillId="6" borderId="6" xfId="0" applyFill="1" applyBorder="1" applyAlignment="1">
      <alignment horizontal="left" wrapText="1"/>
    </xf>
    <xf numFmtId="0" fontId="0" fillId="6" borderId="8" xfId="0" applyFill="1" applyBorder="1" applyAlignment="1">
      <alignment wrapText="1"/>
    </xf>
    <xf numFmtId="0" fontId="0" fillId="6" borderId="9" xfId="0" applyFill="1" applyBorder="1" applyAlignment="1">
      <alignment horizontal="left" wrapText="1"/>
    </xf>
    <xf numFmtId="0" fontId="0" fillId="6" borderId="11" xfId="0" applyFill="1" applyBorder="1" applyAlignment="1">
      <alignment wrapText="1"/>
    </xf>
    <xf numFmtId="2" fontId="0" fillId="0" borderId="0" xfId="0" applyNumberFormat="1"/>
    <xf numFmtId="2" fontId="21" fillId="3" borderId="0" xfId="0" applyNumberFormat="1" applyFont="1" applyFill="1" applyAlignment="1">
      <alignment horizontal="right" vertical="center"/>
    </xf>
    <xf numFmtId="9" fontId="21" fillId="3" borderId="0" xfId="0" applyNumberFormat="1" applyFont="1" applyFill="1" applyAlignment="1">
      <alignment horizontal="center" vertical="center"/>
    </xf>
    <xf numFmtId="0" fontId="1" fillId="2" borderId="7" xfId="0" applyFont="1" applyFill="1" applyBorder="1" applyAlignment="1">
      <alignment horizontal="center" vertical="center"/>
    </xf>
    <xf numFmtId="0" fontId="0" fillId="0" borderId="0" xfId="0" applyAlignment="1">
      <alignment vertical="center"/>
    </xf>
    <xf numFmtId="2" fontId="0" fillId="0" borderId="0" xfId="0" applyNumberFormat="1" applyAlignment="1">
      <alignment horizontal="center" vertical="center"/>
    </xf>
    <xf numFmtId="2" fontId="21" fillId="0" borderId="0" xfId="0" applyNumberFormat="1" applyFont="1" applyAlignment="1">
      <alignment horizontal="right" vertical="center"/>
    </xf>
    <xf numFmtId="0" fontId="0" fillId="3" borderId="0" xfId="0" applyFill="1" applyAlignment="1">
      <alignment horizontal="center" vertical="center"/>
    </xf>
    <xf numFmtId="0" fontId="0" fillId="3" borderId="0" xfId="0" applyFill="1"/>
    <xf numFmtId="2" fontId="21" fillId="0" borderId="0" xfId="0" applyNumberFormat="1" applyFont="1" applyAlignment="1">
      <alignment vertical="center"/>
    </xf>
    <xf numFmtId="2" fontId="25" fillId="0" borderId="0" xfId="0" applyNumberFormat="1" applyFont="1"/>
    <xf numFmtId="2" fontId="20" fillId="0" borderId="0" xfId="0" applyNumberFormat="1" applyFont="1" applyAlignment="1">
      <alignment vertical="center"/>
    </xf>
    <xf numFmtId="0" fontId="25" fillId="0" borderId="0" xfId="0" applyFont="1"/>
    <xf numFmtId="0" fontId="1" fillId="2" borderId="22" xfId="0" applyFont="1" applyFill="1" applyBorder="1" applyAlignment="1">
      <alignment horizontal="center" vertical="center"/>
    </xf>
    <xf numFmtId="0" fontId="1" fillId="2" borderId="23" xfId="0" applyFont="1" applyFill="1" applyBorder="1" applyAlignment="1">
      <alignment horizontal="center" vertical="center"/>
    </xf>
    <xf numFmtId="0" fontId="1" fillId="2" borderId="24" xfId="0" applyFont="1" applyFill="1" applyBorder="1" applyAlignment="1">
      <alignment horizontal="center" vertical="center"/>
    </xf>
    <xf numFmtId="2" fontId="25" fillId="0" borderId="0" xfId="0" applyNumberFormat="1" applyFont="1" applyAlignment="1">
      <alignment horizontal="center" vertical="center"/>
    </xf>
    <xf numFmtId="0" fontId="0" fillId="0" borderId="28" xfId="0" applyBorder="1" applyAlignment="1">
      <alignment horizontal="center" vertical="center"/>
    </xf>
    <xf numFmtId="0" fontId="25" fillId="0" borderId="0" xfId="0" applyFont="1" applyAlignment="1">
      <alignment horizontal="center" vertical="center"/>
    </xf>
    <xf numFmtId="0" fontId="17" fillId="0" borderId="4" xfId="0" applyFont="1" applyBorder="1" applyAlignment="1">
      <alignment horizontal="left" vertical="center" wrapText="1"/>
    </xf>
    <xf numFmtId="2" fontId="0" fillId="0" borderId="0" xfId="0" applyNumberFormat="1" applyAlignment="1">
      <alignment horizontal="center" vertical="center" wrapText="1"/>
    </xf>
    <xf numFmtId="0" fontId="3" fillId="0" borderId="12" xfId="0" applyFont="1" applyBorder="1" applyAlignment="1">
      <alignment horizontal="left" wrapText="1"/>
    </xf>
    <xf numFmtId="0" fontId="1" fillId="0" borderId="29" xfId="0" applyFont="1" applyBorder="1" applyAlignment="1">
      <alignment vertical="center" wrapText="1"/>
    </xf>
    <xf numFmtId="0" fontId="0" fillId="0" borderId="26" xfId="0" applyBorder="1" applyAlignment="1">
      <alignment vertical="center" wrapText="1"/>
    </xf>
    <xf numFmtId="0" fontId="1" fillId="0" borderId="26" xfId="0" applyFont="1" applyBorder="1" applyAlignment="1">
      <alignment vertical="center" wrapText="1"/>
    </xf>
    <xf numFmtId="0" fontId="0" fillId="0" borderId="33" xfId="0" applyBorder="1" applyAlignment="1">
      <alignment vertical="center" wrapText="1"/>
    </xf>
    <xf numFmtId="0" fontId="0" fillId="0" borderId="39" xfId="0" applyBorder="1" applyAlignment="1">
      <alignment vertical="center" wrapText="1"/>
    </xf>
    <xf numFmtId="0" fontId="0" fillId="0" borderId="27" xfId="0" applyBorder="1" applyAlignment="1">
      <alignment vertical="center" wrapText="1"/>
    </xf>
    <xf numFmtId="2" fontId="20" fillId="0" borderId="0" xfId="0" applyNumberFormat="1" applyFont="1" applyAlignment="1">
      <alignment horizontal="right" vertical="center"/>
    </xf>
    <xf numFmtId="2" fontId="0" fillId="3" borderId="0" xfId="0" applyNumberFormat="1" applyFill="1" applyAlignment="1">
      <alignment horizontal="center" vertical="center"/>
    </xf>
    <xf numFmtId="0" fontId="17" fillId="0" borderId="4" xfId="0" applyFont="1" applyBorder="1" applyAlignment="1">
      <alignment horizontal="left" wrapText="1"/>
    </xf>
    <xf numFmtId="0" fontId="0" fillId="0" borderId="0" xfId="0" applyAlignment="1">
      <alignment horizontal="left" vertical="top"/>
    </xf>
    <xf numFmtId="0" fontId="0" fillId="0" borderId="4" xfId="0" applyBorder="1" applyAlignment="1">
      <alignment horizontal="center" vertical="center" wrapText="1"/>
    </xf>
    <xf numFmtId="0" fontId="0" fillId="0" borderId="7" xfId="0" applyBorder="1" applyAlignment="1">
      <alignment horizontal="center" vertical="center" wrapText="1"/>
    </xf>
    <xf numFmtId="0" fontId="0" fillId="0" borderId="12" xfId="0" applyBorder="1" applyAlignment="1">
      <alignment horizontal="center" vertical="center" wrapText="1"/>
    </xf>
    <xf numFmtId="0" fontId="0" fillId="0" borderId="10" xfId="0" applyBorder="1" applyAlignment="1">
      <alignment horizontal="center" vertical="center" wrapText="1"/>
    </xf>
    <xf numFmtId="2" fontId="0" fillId="0" borderId="1" xfId="0" applyNumberFormat="1" applyBorder="1" applyAlignment="1">
      <alignment horizontal="center" vertical="center" wrapText="1"/>
    </xf>
    <xf numFmtId="2" fontId="0" fillId="0" borderId="13" xfId="0" applyNumberFormat="1" applyBorder="1" applyAlignment="1">
      <alignment horizontal="center" vertical="center" wrapText="1"/>
    </xf>
    <xf numFmtId="2" fontId="0" fillId="0" borderId="30" xfId="0" applyNumberFormat="1" applyBorder="1" applyAlignment="1">
      <alignment horizontal="center" vertical="center" wrapText="1"/>
    </xf>
    <xf numFmtId="0" fontId="0" fillId="0" borderId="28" xfId="0" applyBorder="1" applyAlignment="1">
      <alignment horizontal="center" vertical="center" wrapText="1"/>
    </xf>
    <xf numFmtId="0" fontId="0" fillId="0" borderId="1" xfId="0" applyBorder="1" applyAlignment="1">
      <alignment horizontal="center" vertical="center" wrapText="1"/>
    </xf>
    <xf numFmtId="0" fontId="0" fillId="0" borderId="30" xfId="0" applyBorder="1" applyAlignment="1">
      <alignment horizontal="center" vertical="center" wrapText="1"/>
    </xf>
    <xf numFmtId="0" fontId="0" fillId="0" borderId="7" xfId="0" applyBorder="1" applyAlignment="1">
      <alignment horizontal="left" vertical="center" wrapText="1"/>
    </xf>
    <xf numFmtId="0" fontId="0" fillId="0" borderId="12" xfId="0" applyBorder="1" applyAlignment="1">
      <alignment horizontal="left" vertical="center" wrapText="1"/>
    </xf>
    <xf numFmtId="0" fontId="0" fillId="0" borderId="10" xfId="0" applyBorder="1" applyAlignment="1">
      <alignment horizontal="left" vertical="center" wrapText="1"/>
    </xf>
    <xf numFmtId="2" fontId="0" fillId="0" borderId="43" xfId="0" applyNumberFormat="1" applyBorder="1" applyAlignment="1">
      <alignment horizontal="center" vertical="center" wrapText="1"/>
    </xf>
    <xf numFmtId="2" fontId="0" fillId="0" borderId="42" xfId="0" applyNumberFormat="1" applyBorder="1" applyAlignment="1">
      <alignment horizontal="center" vertical="center" wrapText="1"/>
    </xf>
    <xf numFmtId="2" fontId="0" fillId="0" borderId="28" xfId="0" applyNumberFormat="1" applyBorder="1" applyAlignment="1">
      <alignment horizontal="center" vertical="center" wrapText="1"/>
    </xf>
    <xf numFmtId="2" fontId="0" fillId="0" borderId="10" xfId="0" applyNumberFormat="1" applyBorder="1" applyAlignment="1">
      <alignment horizontal="center" vertical="center" wrapText="1"/>
    </xf>
    <xf numFmtId="2" fontId="0" fillId="0" borderId="7" xfId="0" applyNumberFormat="1" applyBorder="1" applyAlignment="1">
      <alignment horizontal="center" vertical="center" wrapText="1"/>
    </xf>
    <xf numFmtId="2" fontId="0" fillId="0" borderId="12" xfId="0" applyNumberFormat="1" applyBorder="1" applyAlignment="1">
      <alignment horizontal="center" vertical="center" wrapText="1"/>
    </xf>
    <xf numFmtId="0" fontId="0" fillId="0" borderId="13" xfId="0" applyBorder="1" applyAlignment="1">
      <alignment horizontal="center" vertical="center" wrapText="1"/>
    </xf>
    <xf numFmtId="0" fontId="0" fillId="0" borderId="30" xfId="0" applyBorder="1" applyAlignment="1">
      <alignment horizontal="left" vertical="center" wrapText="1"/>
    </xf>
    <xf numFmtId="0" fontId="0" fillId="0" borderId="4" xfId="0" applyBorder="1" applyAlignment="1">
      <alignment horizontal="left" vertical="center" wrapText="1"/>
    </xf>
    <xf numFmtId="2" fontId="0" fillId="0" borderId="4" xfId="0" applyNumberFormat="1" applyBorder="1" applyAlignment="1">
      <alignment horizontal="center" vertical="center" wrapText="1"/>
    </xf>
    <xf numFmtId="0" fontId="0" fillId="0" borderId="28" xfId="0" applyBorder="1" applyAlignment="1">
      <alignment horizontal="left" vertical="center" wrapText="1"/>
    </xf>
    <xf numFmtId="0" fontId="0" fillId="0" borderId="1" xfId="0" applyBorder="1" applyAlignment="1">
      <alignment horizontal="left" vertical="center" wrapText="1"/>
    </xf>
    <xf numFmtId="0" fontId="3" fillId="0" borderId="4" xfId="0" applyFont="1" applyBorder="1" applyAlignment="1">
      <alignment horizontal="left" vertical="center" wrapText="1"/>
    </xf>
    <xf numFmtId="0" fontId="3" fillId="0" borderId="10" xfId="0" applyFont="1" applyBorder="1" applyAlignment="1">
      <alignment horizontal="left" vertical="center" wrapText="1"/>
    </xf>
    <xf numFmtId="0" fontId="12" fillId="0" borderId="4" xfId="0" applyFont="1" applyBorder="1" applyAlignment="1">
      <alignment horizontal="center" vertical="center" wrapText="1"/>
    </xf>
    <xf numFmtId="0" fontId="12" fillId="0" borderId="7" xfId="0" applyFont="1" applyBorder="1" applyAlignment="1">
      <alignment horizontal="center" vertical="center" wrapText="1"/>
    </xf>
    <xf numFmtId="0" fontId="12" fillId="0" borderId="10" xfId="0" applyFont="1" applyBorder="1" applyAlignment="1">
      <alignment horizontal="center" vertical="center" wrapText="1"/>
    </xf>
    <xf numFmtId="0" fontId="12" fillId="0" borderId="7" xfId="0" applyFont="1" applyBorder="1" applyAlignment="1">
      <alignment horizontal="left" vertical="center" wrapText="1"/>
    </xf>
    <xf numFmtId="0" fontId="33" fillId="7" borderId="7" xfId="0" applyFont="1" applyFill="1" applyBorder="1" applyAlignment="1">
      <alignment horizontal="center" vertical="center" wrapText="1"/>
    </xf>
    <xf numFmtId="164" fontId="0" fillId="0" borderId="7" xfId="0" applyNumberFormat="1" applyBorder="1" applyAlignment="1">
      <alignment horizontal="center" vertical="center"/>
    </xf>
    <xf numFmtId="0" fontId="3" fillId="0" borderId="7" xfId="0" applyFont="1" applyBorder="1" applyAlignment="1">
      <alignment horizontal="center" vertical="center"/>
    </xf>
    <xf numFmtId="0" fontId="33" fillId="7" borderId="13" xfId="0" applyFont="1" applyFill="1" applyBorder="1" applyAlignment="1">
      <alignment horizontal="center" vertical="center" wrapText="1"/>
    </xf>
    <xf numFmtId="0" fontId="0" fillId="0" borderId="7" xfId="0" applyBorder="1" applyAlignment="1">
      <alignment vertical="center"/>
    </xf>
    <xf numFmtId="0" fontId="34" fillId="0" borderId="7" xfId="0" applyFont="1" applyBorder="1" applyAlignment="1">
      <alignment horizontal="left" vertical="center" wrapText="1"/>
    </xf>
    <xf numFmtId="0" fontId="35" fillId="0" borderId="7" xfId="0" applyFont="1" applyBorder="1" applyAlignment="1">
      <alignment horizontal="left" vertical="center" wrapText="1"/>
    </xf>
    <xf numFmtId="0" fontId="1" fillId="3" borderId="4" xfId="0" applyFont="1" applyFill="1" applyBorder="1" applyAlignment="1">
      <alignment horizontal="left" vertical="center" wrapText="1"/>
    </xf>
    <xf numFmtId="0" fontId="0" fillId="3" borderId="7" xfId="0" applyFill="1" applyBorder="1" applyAlignment="1">
      <alignment vertical="center" wrapText="1"/>
    </xf>
    <xf numFmtId="0" fontId="0" fillId="3" borderId="10" xfId="0" applyFill="1" applyBorder="1" applyAlignment="1">
      <alignment vertical="center" wrapText="1"/>
    </xf>
    <xf numFmtId="0" fontId="1" fillId="3" borderId="4" xfId="0" applyFont="1" applyFill="1" applyBorder="1" applyAlignment="1">
      <alignment vertical="center" wrapText="1"/>
    </xf>
    <xf numFmtId="0" fontId="3" fillId="3" borderId="7" xfId="0" applyFont="1" applyFill="1" applyBorder="1" applyAlignment="1">
      <alignment horizontal="left" vertical="center" wrapText="1"/>
    </xf>
    <xf numFmtId="0" fontId="1" fillId="3" borderId="7" xfId="0" applyFont="1" applyFill="1" applyBorder="1" applyAlignment="1">
      <alignment horizontal="left" vertical="center" wrapText="1"/>
    </xf>
    <xf numFmtId="0" fontId="28" fillId="3" borderId="4" xfId="0" applyFont="1" applyFill="1" applyBorder="1" applyAlignment="1">
      <alignment horizontal="left" vertical="center" wrapText="1"/>
    </xf>
    <xf numFmtId="0" fontId="1" fillId="3" borderId="12" xfId="0" applyFont="1" applyFill="1" applyBorder="1" applyAlignment="1">
      <alignment horizontal="left" vertical="center" wrapText="1"/>
    </xf>
    <xf numFmtId="0" fontId="0" fillId="3" borderId="30" xfId="0" applyFill="1" applyBorder="1" applyAlignment="1">
      <alignment horizontal="left" vertical="center" wrapText="1"/>
    </xf>
    <xf numFmtId="0" fontId="0" fillId="3" borderId="12" xfId="0" applyFill="1" applyBorder="1" applyAlignment="1">
      <alignment horizontal="left" vertical="center" wrapText="1"/>
    </xf>
    <xf numFmtId="0" fontId="0" fillId="3" borderId="10" xfId="0" applyFill="1" applyBorder="1" applyAlignment="1">
      <alignment horizontal="left" vertical="center" wrapText="1"/>
    </xf>
    <xf numFmtId="0" fontId="0" fillId="3" borderId="28" xfId="0" applyFill="1" applyBorder="1" applyAlignment="1">
      <alignment horizontal="left" vertical="center" wrapText="1"/>
    </xf>
    <xf numFmtId="0" fontId="0" fillId="3" borderId="7" xfId="0" applyFill="1" applyBorder="1" applyAlignment="1">
      <alignment horizontal="left" wrapText="1"/>
    </xf>
    <xf numFmtId="0" fontId="0" fillId="3" borderId="4" xfId="0" applyFill="1" applyBorder="1" applyAlignment="1">
      <alignment horizontal="left" vertical="center" wrapText="1"/>
    </xf>
    <xf numFmtId="0" fontId="3" fillId="3" borderId="6" xfId="0" applyFont="1" applyFill="1" applyBorder="1" applyAlignment="1">
      <alignment horizontal="center" vertical="center"/>
    </xf>
    <xf numFmtId="0" fontId="7" fillId="2" borderId="17" xfId="0" applyFont="1" applyFill="1" applyBorder="1" applyAlignment="1">
      <alignment horizontal="center" vertical="top" wrapText="1"/>
    </xf>
    <xf numFmtId="0" fontId="7" fillId="2" borderId="0" xfId="0" applyFont="1" applyFill="1" applyAlignment="1">
      <alignment horizontal="center" vertical="top" wrapText="1"/>
    </xf>
    <xf numFmtId="0" fontId="7" fillId="2" borderId="18" xfId="0" applyFont="1" applyFill="1" applyBorder="1" applyAlignment="1">
      <alignment horizontal="center" vertical="top" wrapText="1"/>
    </xf>
    <xf numFmtId="0" fontId="2" fillId="0" borderId="0" xfId="0" applyFont="1" applyAlignment="1">
      <alignment horizontal="center" vertical="top" wrapText="1"/>
    </xf>
    <xf numFmtId="0" fontId="2" fillId="0" borderId="0" xfId="0" applyFont="1" applyAlignment="1">
      <alignment horizontal="center" vertical="top"/>
    </xf>
    <xf numFmtId="0" fontId="9" fillId="0" borderId="17" xfId="0" applyFont="1" applyBorder="1" applyAlignment="1">
      <alignment horizontal="center" vertical="center" wrapText="1"/>
    </xf>
    <xf numFmtId="0" fontId="9" fillId="0" borderId="0" xfId="0" applyFont="1" applyAlignment="1">
      <alignment horizontal="center" vertical="center" wrapText="1"/>
    </xf>
    <xf numFmtId="0" fontId="9" fillId="0" borderId="18" xfId="0" applyFont="1" applyBorder="1" applyAlignment="1">
      <alignment horizontal="center" vertical="center" wrapText="1"/>
    </xf>
    <xf numFmtId="0" fontId="9" fillId="0" borderId="19" xfId="0" applyFont="1" applyBorder="1" applyAlignment="1">
      <alignment horizontal="center" vertical="center" wrapText="1"/>
    </xf>
    <xf numFmtId="0" fontId="9" fillId="0" borderId="20" xfId="0" applyFont="1" applyBorder="1" applyAlignment="1">
      <alignment horizontal="center" vertical="center" wrapText="1"/>
    </xf>
    <xf numFmtId="0" fontId="9" fillId="0" borderId="21" xfId="0" applyFont="1" applyBorder="1" applyAlignment="1">
      <alignment horizontal="center" vertical="center" wrapText="1"/>
    </xf>
    <xf numFmtId="0" fontId="26" fillId="8" borderId="17" xfId="0" applyFont="1" applyFill="1" applyBorder="1" applyAlignment="1">
      <alignment horizontal="center" vertical="center"/>
    </xf>
    <xf numFmtId="0" fontId="26" fillId="8" borderId="0" xfId="0" applyFont="1" applyFill="1" applyAlignment="1">
      <alignment horizontal="center" vertical="center"/>
    </xf>
    <xf numFmtId="0" fontId="26" fillId="8" borderId="18" xfId="0" applyFont="1" applyFill="1" applyBorder="1" applyAlignment="1">
      <alignment horizontal="center" vertical="center"/>
    </xf>
    <xf numFmtId="0" fontId="30" fillId="0" borderId="0" xfId="0" applyFont="1" applyAlignment="1">
      <alignment horizontal="center" vertical="top"/>
    </xf>
    <xf numFmtId="0" fontId="24" fillId="6" borderId="0" xfId="0" applyFont="1" applyFill="1" applyAlignment="1">
      <alignment horizontal="left" vertical="center" wrapText="1"/>
    </xf>
    <xf numFmtId="0" fontId="1" fillId="0" borderId="0" xfId="0" applyFont="1" applyAlignment="1">
      <alignment horizontal="left" vertical="center" wrapText="1"/>
    </xf>
    <xf numFmtId="0" fontId="24" fillId="0" borderId="0" xfId="0" applyFont="1" applyAlignment="1">
      <alignment horizontal="left" vertical="center" wrapText="1"/>
    </xf>
    <xf numFmtId="0" fontId="0" fillId="0" borderId="0" xfId="0" applyAlignment="1">
      <alignment horizontal="left" vertical="top" wrapText="1"/>
    </xf>
    <xf numFmtId="0" fontId="24" fillId="6" borderId="57" xfId="0" applyFont="1" applyFill="1" applyBorder="1" applyAlignment="1">
      <alignment horizontal="center" vertical="center" wrapText="1"/>
    </xf>
    <xf numFmtId="0" fontId="24" fillId="6" borderId="58" xfId="0" applyFont="1" applyFill="1" applyBorder="1" applyAlignment="1">
      <alignment horizontal="center" vertical="center" wrapText="1"/>
    </xf>
    <xf numFmtId="0" fontId="24" fillId="6" borderId="59" xfId="0" applyFont="1" applyFill="1" applyBorder="1" applyAlignment="1">
      <alignment horizontal="center" vertical="center" wrapText="1"/>
    </xf>
    <xf numFmtId="0" fontId="0" fillId="0" borderId="0" xfId="0" applyAlignment="1">
      <alignment horizontal="left" wrapText="1"/>
    </xf>
    <xf numFmtId="0" fontId="0" fillId="3" borderId="1" xfId="0" applyFill="1" applyBorder="1" applyAlignment="1">
      <alignment horizontal="center" vertical="center" wrapText="1"/>
    </xf>
    <xf numFmtId="0" fontId="0" fillId="3" borderId="13" xfId="0" applyFill="1" applyBorder="1" applyAlignment="1">
      <alignment horizontal="center" vertical="center" wrapText="1"/>
    </xf>
    <xf numFmtId="0" fontId="0" fillId="3" borderId="30" xfId="0" applyFill="1" applyBorder="1" applyAlignment="1">
      <alignment horizontal="center" vertical="center" wrapText="1"/>
    </xf>
    <xf numFmtId="0" fontId="2" fillId="3" borderId="1" xfId="0" applyFont="1" applyFill="1" applyBorder="1" applyAlignment="1">
      <alignment horizontal="left" vertical="center" wrapText="1"/>
    </xf>
    <xf numFmtId="0" fontId="2" fillId="3" borderId="13" xfId="0" applyFont="1" applyFill="1" applyBorder="1" applyAlignment="1">
      <alignment horizontal="left" vertical="center" wrapText="1"/>
    </xf>
    <xf numFmtId="0" fontId="2" fillId="3" borderId="30" xfId="0" applyFont="1" applyFill="1" applyBorder="1" applyAlignment="1">
      <alignment horizontal="left" vertical="center" wrapText="1"/>
    </xf>
    <xf numFmtId="2" fontId="0" fillId="0" borderId="1" xfId="0" applyNumberFormat="1" applyBorder="1" applyAlignment="1">
      <alignment horizontal="center" vertical="center" wrapText="1"/>
    </xf>
    <xf numFmtId="2" fontId="0" fillId="0" borderId="13" xfId="0" applyNumberFormat="1" applyBorder="1" applyAlignment="1">
      <alignment horizontal="center" vertical="center" wrapText="1"/>
    </xf>
    <xf numFmtId="2" fontId="0" fillId="0" borderId="30" xfId="0" applyNumberFormat="1" applyBorder="1" applyAlignment="1">
      <alignment horizontal="center" vertical="center" wrapText="1"/>
    </xf>
    <xf numFmtId="0" fontId="0" fillId="0" borderId="5" xfId="0" applyBorder="1" applyAlignment="1">
      <alignment horizontal="center" vertical="center" wrapText="1"/>
    </xf>
    <xf numFmtId="0" fontId="0" fillId="0" borderId="8" xfId="0" applyBorder="1" applyAlignment="1">
      <alignment horizontal="center" vertical="center" wrapText="1"/>
    </xf>
    <xf numFmtId="0" fontId="0" fillId="0" borderId="11" xfId="0" applyBorder="1" applyAlignment="1">
      <alignment horizontal="center" vertical="center" wrapText="1"/>
    </xf>
    <xf numFmtId="0" fontId="0" fillId="0" borderId="28" xfId="0" applyBorder="1" applyAlignment="1">
      <alignment horizontal="center" vertical="center" wrapText="1"/>
    </xf>
    <xf numFmtId="0" fontId="0" fillId="0" borderId="7" xfId="0" applyBorder="1" applyAlignment="1">
      <alignment horizontal="center" vertical="center" wrapText="1"/>
    </xf>
    <xf numFmtId="0" fontId="0" fillId="0" borderId="12" xfId="0" applyBorder="1" applyAlignment="1">
      <alignment horizontal="center" vertical="center" wrapText="1"/>
    </xf>
    <xf numFmtId="0" fontId="0" fillId="0" borderId="10" xfId="0" applyBorder="1" applyAlignment="1">
      <alignment horizontal="center" vertical="center" wrapText="1"/>
    </xf>
    <xf numFmtId="0" fontId="2" fillId="0" borderId="4" xfId="0" applyFont="1" applyBorder="1" applyAlignment="1">
      <alignment horizontal="left" vertical="center" wrapText="1"/>
    </xf>
    <xf numFmtId="0" fontId="2" fillId="0" borderId="7" xfId="0" applyFont="1" applyBorder="1" applyAlignment="1">
      <alignment horizontal="left" vertical="center" wrapText="1"/>
    </xf>
    <xf numFmtId="0" fontId="2" fillId="0" borderId="10" xfId="0" applyFont="1" applyBorder="1" applyAlignment="1">
      <alignment horizontal="left" vertical="center" wrapText="1"/>
    </xf>
    <xf numFmtId="0" fontId="0" fillId="0" borderId="32" xfId="0" applyBorder="1" applyAlignment="1">
      <alignment horizontal="center" vertical="center" wrapText="1"/>
    </xf>
    <xf numFmtId="0" fontId="0" fillId="0" borderId="37" xfId="0" applyBorder="1" applyAlignment="1">
      <alignment horizontal="center" vertical="center" wrapText="1"/>
    </xf>
    <xf numFmtId="0" fontId="10" fillId="2" borderId="38" xfId="0" applyFont="1" applyFill="1" applyBorder="1" applyAlignment="1">
      <alignment horizontal="center" vertical="center" wrapText="1"/>
    </xf>
    <xf numFmtId="0" fontId="10" fillId="2" borderId="25" xfId="0" applyFont="1" applyFill="1" applyBorder="1" applyAlignment="1">
      <alignment horizontal="center" vertical="center" wrapText="1"/>
    </xf>
    <xf numFmtId="0" fontId="0" fillId="0" borderId="1" xfId="0" applyBorder="1" applyAlignment="1">
      <alignment horizontal="center" vertical="center" wrapText="1"/>
    </xf>
    <xf numFmtId="0" fontId="0" fillId="0" borderId="13" xfId="0" applyBorder="1" applyAlignment="1">
      <alignment horizontal="center" vertical="center" wrapText="1"/>
    </xf>
    <xf numFmtId="0" fontId="0" fillId="0" borderId="1" xfId="0" applyBorder="1" applyAlignment="1">
      <alignment horizontal="left" vertical="center" wrapText="1"/>
    </xf>
    <xf numFmtId="0" fontId="0" fillId="0" borderId="13" xfId="0" applyBorder="1" applyAlignment="1">
      <alignment horizontal="left" vertical="center" wrapText="1"/>
    </xf>
    <xf numFmtId="0" fontId="0" fillId="0" borderId="4" xfId="0" applyBorder="1" applyAlignment="1">
      <alignment horizontal="center" vertical="center" wrapText="1"/>
    </xf>
    <xf numFmtId="0" fontId="0" fillId="0" borderId="30" xfId="0" applyBorder="1" applyAlignment="1">
      <alignment horizontal="left" vertical="center" wrapText="1"/>
    </xf>
    <xf numFmtId="0" fontId="0" fillId="0" borderId="34" xfId="0" applyBorder="1" applyAlignment="1">
      <alignment horizontal="center" vertical="center" wrapText="1"/>
    </xf>
    <xf numFmtId="0" fontId="0" fillId="0" borderId="35" xfId="0" applyBorder="1" applyAlignment="1">
      <alignment horizontal="center" vertical="center" wrapText="1"/>
    </xf>
    <xf numFmtId="0" fontId="0" fillId="0" borderId="2" xfId="0" applyBorder="1" applyAlignment="1">
      <alignment horizontal="center" vertical="center" wrapText="1"/>
    </xf>
    <xf numFmtId="0" fontId="0" fillId="0" borderId="28" xfId="0" applyBorder="1" applyAlignment="1">
      <alignment horizontal="left" vertical="center" wrapText="1"/>
    </xf>
    <xf numFmtId="0" fontId="0" fillId="0" borderId="7" xfId="0" applyBorder="1" applyAlignment="1">
      <alignment horizontal="left" vertical="center" wrapText="1"/>
    </xf>
    <xf numFmtId="0" fontId="0" fillId="0" borderId="12" xfId="0" applyBorder="1" applyAlignment="1">
      <alignment horizontal="left" vertical="center" wrapText="1"/>
    </xf>
    <xf numFmtId="0" fontId="0" fillId="0" borderId="10" xfId="0" applyBorder="1" applyAlignment="1">
      <alignment horizontal="left" vertical="center" wrapText="1"/>
    </xf>
    <xf numFmtId="0" fontId="0" fillId="0" borderId="4" xfId="0" applyBorder="1" applyAlignment="1">
      <alignment horizontal="left" vertical="center" wrapText="1"/>
    </xf>
    <xf numFmtId="2" fontId="0" fillId="0" borderId="43" xfId="0" applyNumberFormat="1" applyBorder="1" applyAlignment="1">
      <alignment horizontal="center" vertical="center" wrapText="1"/>
    </xf>
    <xf numFmtId="2" fontId="0" fillId="0" borderId="42" xfId="0" applyNumberFormat="1" applyBorder="1" applyAlignment="1">
      <alignment horizontal="center" vertical="center" wrapText="1"/>
    </xf>
    <xf numFmtId="2" fontId="0" fillId="0" borderId="28" xfId="0" applyNumberFormat="1" applyBorder="1" applyAlignment="1">
      <alignment horizontal="center" vertical="center" wrapText="1"/>
    </xf>
    <xf numFmtId="2" fontId="0" fillId="0" borderId="10" xfId="0" applyNumberFormat="1" applyBorder="1" applyAlignment="1">
      <alignment horizontal="center" vertical="center" wrapText="1"/>
    </xf>
    <xf numFmtId="2" fontId="0" fillId="0" borderId="41" xfId="0" applyNumberFormat="1" applyBorder="1" applyAlignment="1">
      <alignment horizontal="center" vertical="center" wrapText="1"/>
    </xf>
    <xf numFmtId="2" fontId="0" fillId="0" borderId="7" xfId="0" applyNumberFormat="1" applyBorder="1" applyAlignment="1">
      <alignment horizontal="center" vertical="center" wrapText="1"/>
    </xf>
    <xf numFmtId="2" fontId="0" fillId="0" borderId="12" xfId="0" applyNumberFormat="1" applyBorder="1" applyAlignment="1">
      <alignment horizontal="center" vertical="center" wrapText="1"/>
    </xf>
    <xf numFmtId="0" fontId="0" fillId="0" borderId="30" xfId="0" applyBorder="1" applyAlignment="1">
      <alignment horizontal="center" vertical="center" wrapText="1"/>
    </xf>
    <xf numFmtId="0" fontId="0" fillId="0" borderId="40" xfId="0" applyBorder="1" applyAlignment="1">
      <alignment horizontal="center" vertical="center" wrapText="1"/>
    </xf>
    <xf numFmtId="0" fontId="0" fillId="0" borderId="41" xfId="0" applyBorder="1" applyAlignment="1">
      <alignment horizontal="center" vertical="center" wrapText="1"/>
    </xf>
    <xf numFmtId="0" fontId="0" fillId="0" borderId="42" xfId="0" applyBorder="1" applyAlignment="1">
      <alignment horizontal="center" vertical="center" wrapText="1"/>
    </xf>
    <xf numFmtId="2" fontId="0" fillId="0" borderId="40" xfId="0" applyNumberFormat="1" applyBorder="1" applyAlignment="1">
      <alignment horizontal="center" vertical="center" wrapText="1"/>
    </xf>
    <xf numFmtId="2" fontId="0" fillId="0" borderId="4" xfId="0" applyNumberFormat="1" applyBorder="1" applyAlignment="1">
      <alignment horizontal="center" vertical="center" wrapText="1"/>
    </xf>
    <xf numFmtId="0" fontId="0" fillId="0" borderId="43" xfId="0" applyBorder="1" applyAlignment="1">
      <alignment horizontal="center" vertical="center" wrapText="1"/>
    </xf>
    <xf numFmtId="0" fontId="0" fillId="0" borderId="48" xfId="0" applyBorder="1" applyAlignment="1">
      <alignment horizontal="center" vertical="center" wrapText="1"/>
    </xf>
    <xf numFmtId="2" fontId="0" fillId="0" borderId="48" xfId="0" applyNumberFormat="1" applyBorder="1" applyAlignment="1">
      <alignment horizontal="center" vertical="center" wrapText="1"/>
    </xf>
    <xf numFmtId="0" fontId="0" fillId="3" borderId="40" xfId="0" applyFill="1" applyBorder="1" applyAlignment="1">
      <alignment horizontal="center" vertical="center" wrapText="1"/>
    </xf>
    <xf numFmtId="0" fontId="0" fillId="3" borderId="41" xfId="0" applyFill="1" applyBorder="1" applyAlignment="1">
      <alignment horizontal="center" vertical="center" wrapText="1"/>
    </xf>
    <xf numFmtId="0" fontId="0" fillId="3" borderId="42" xfId="0" applyFill="1" applyBorder="1" applyAlignment="1">
      <alignment horizontal="center" vertical="center" wrapText="1"/>
    </xf>
    <xf numFmtId="2" fontId="0" fillId="0" borderId="46" xfId="0" applyNumberFormat="1" applyBorder="1" applyAlignment="1">
      <alignment horizontal="center" vertical="center" wrapText="1"/>
    </xf>
    <xf numFmtId="2" fontId="0" fillId="0" borderId="45" xfId="0" applyNumberFormat="1" applyBorder="1" applyAlignment="1">
      <alignment horizontal="center" vertical="center" wrapText="1"/>
    </xf>
    <xf numFmtId="2" fontId="0" fillId="0" borderId="47" xfId="0" applyNumberFormat="1" applyBorder="1" applyAlignment="1">
      <alignment horizontal="center" vertical="center" wrapText="1"/>
    </xf>
    <xf numFmtId="0" fontId="0" fillId="0" borderId="4" xfId="0" applyBorder="1" applyAlignment="1">
      <alignment horizontal="center" vertical="center"/>
    </xf>
    <xf numFmtId="0" fontId="0" fillId="0" borderId="7" xfId="0" applyBorder="1" applyAlignment="1">
      <alignment horizontal="center" vertical="center"/>
    </xf>
    <xf numFmtId="0" fontId="0" fillId="0" borderId="12" xfId="0" applyBorder="1" applyAlignment="1">
      <alignment horizontal="center" vertical="center"/>
    </xf>
    <xf numFmtId="0" fontId="0" fillId="0" borderId="10" xfId="0" applyBorder="1" applyAlignment="1">
      <alignment horizontal="center" vertical="center"/>
    </xf>
    <xf numFmtId="0" fontId="0" fillId="0" borderId="28" xfId="0" applyBorder="1" applyAlignment="1">
      <alignment horizontal="center" vertical="center"/>
    </xf>
    <xf numFmtId="2" fontId="0" fillId="0" borderId="44" xfId="0" applyNumberFormat="1" applyBorder="1" applyAlignment="1">
      <alignment horizontal="center" vertical="center" wrapText="1"/>
    </xf>
    <xf numFmtId="2" fontId="0" fillId="0" borderId="54" xfId="0" applyNumberFormat="1" applyBorder="1" applyAlignment="1">
      <alignment horizontal="center" vertical="center" wrapText="1"/>
    </xf>
    <xf numFmtId="2" fontId="0" fillId="0" borderId="55" xfId="0" applyNumberFormat="1" applyBorder="1" applyAlignment="1">
      <alignment horizontal="center" vertical="center" wrapText="1"/>
    </xf>
    <xf numFmtId="2" fontId="0" fillId="0" borderId="0" xfId="0" applyNumberFormat="1" applyAlignment="1">
      <alignment horizontal="center" vertical="center" wrapText="1"/>
    </xf>
    <xf numFmtId="2" fontId="0" fillId="0" borderId="20" xfId="0" applyNumberFormat="1" applyBorder="1" applyAlignment="1">
      <alignment horizontal="center" vertical="center" wrapText="1"/>
    </xf>
    <xf numFmtId="0" fontId="3" fillId="0" borderId="28" xfId="0" applyFont="1" applyBorder="1" applyAlignment="1">
      <alignment horizontal="center" vertical="center" wrapText="1"/>
    </xf>
    <xf numFmtId="0" fontId="3" fillId="0" borderId="7"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4" xfId="0" applyFont="1" applyBorder="1" applyAlignment="1">
      <alignment horizontal="center" vertical="center"/>
    </xf>
    <xf numFmtId="0" fontId="3" fillId="0" borderId="10" xfId="0" applyFont="1" applyBorder="1" applyAlignment="1">
      <alignment horizontal="center" vertical="center"/>
    </xf>
    <xf numFmtId="0" fontId="3" fillId="0" borderId="4" xfId="0" applyFont="1" applyBorder="1" applyAlignment="1">
      <alignment horizontal="left" vertical="center" wrapText="1"/>
    </xf>
    <xf numFmtId="0" fontId="3" fillId="0" borderId="10" xfId="0" applyFont="1" applyBorder="1" applyAlignment="1">
      <alignment horizontal="left" vertical="center" wrapText="1"/>
    </xf>
    <xf numFmtId="2" fontId="0" fillId="0" borderId="2" xfId="0" applyNumberFormat="1" applyBorder="1" applyAlignment="1">
      <alignment horizontal="center" vertical="center" wrapText="1"/>
    </xf>
    <xf numFmtId="2" fontId="0" fillId="0" borderId="34" xfId="0" applyNumberFormat="1" applyBorder="1" applyAlignment="1">
      <alignment horizontal="center" vertical="center" wrapText="1"/>
    </xf>
    <xf numFmtId="2" fontId="0" fillId="0" borderId="35" xfId="0" applyNumberFormat="1" applyBorder="1" applyAlignment="1">
      <alignment horizontal="center" vertical="center" wrapText="1"/>
    </xf>
    <xf numFmtId="0" fontId="12" fillId="0" borderId="4" xfId="0" applyFont="1" applyBorder="1" applyAlignment="1">
      <alignment horizontal="center" vertical="center" wrapText="1"/>
    </xf>
    <xf numFmtId="0" fontId="12" fillId="0" borderId="7" xfId="0" applyFont="1" applyBorder="1" applyAlignment="1">
      <alignment horizontal="center" vertical="center" wrapText="1"/>
    </xf>
    <xf numFmtId="0" fontId="12" fillId="0" borderId="10" xfId="0" applyFont="1" applyBorder="1" applyAlignment="1">
      <alignment horizontal="center" vertical="center" wrapText="1"/>
    </xf>
    <xf numFmtId="0" fontId="12" fillId="0" borderId="4" xfId="0" applyFont="1" applyBorder="1" applyAlignment="1">
      <alignment horizontal="left" vertical="center" wrapText="1"/>
    </xf>
    <xf numFmtId="0" fontId="12" fillId="0" borderId="7" xfId="0" applyFont="1" applyBorder="1" applyAlignment="1">
      <alignment horizontal="left" vertical="center" wrapText="1"/>
    </xf>
    <xf numFmtId="0" fontId="12" fillId="0" borderId="10" xfId="0" applyFont="1" applyBorder="1" applyAlignment="1">
      <alignment horizontal="left" vertical="center" wrapText="1"/>
    </xf>
  </cellXfs>
  <cellStyles count="4">
    <cellStyle name="Hyperlink" xfId="1" builtinId="8"/>
    <cellStyle name="Normal" xfId="0" builtinId="0"/>
    <cellStyle name="Normal 2" xfId="2" xr:uid="{00000000-0005-0000-0000-000002000000}"/>
    <cellStyle name="Normal 4"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2.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openxmlformats.org/officeDocument/2006/relationships/sharedStrings" Target="sharedStrings.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338667</xdr:colOff>
      <xdr:row>13</xdr:row>
      <xdr:rowOff>1</xdr:rowOff>
    </xdr:from>
    <xdr:to>
      <xdr:col>2</xdr:col>
      <xdr:colOff>629708</xdr:colOff>
      <xdr:row>20</xdr:row>
      <xdr:rowOff>817</xdr:rowOff>
    </xdr:to>
    <xdr:pic>
      <xdr:nvPicPr>
        <xdr:cNvPr id="5" name="Picture 4">
          <a:extLst>
            <a:ext uri="{FF2B5EF4-FFF2-40B4-BE49-F238E27FC236}">
              <a16:creationId xmlns:a16="http://schemas.microsoft.com/office/drawing/2014/main" id="{00000000-0008-0000-02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38667" y="3185584"/>
          <a:ext cx="4773083" cy="13819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447675</xdr:colOff>
      <xdr:row>0</xdr:row>
      <xdr:rowOff>57150</xdr:rowOff>
    </xdr:from>
    <xdr:to>
      <xdr:col>16</xdr:col>
      <xdr:colOff>415925</xdr:colOff>
      <xdr:row>17</xdr:row>
      <xdr:rowOff>47624</xdr:rowOff>
    </xdr:to>
    <xdr:grpSp>
      <xdr:nvGrpSpPr>
        <xdr:cNvPr id="2" name="Group 1">
          <a:extLst>
            <a:ext uri="{FF2B5EF4-FFF2-40B4-BE49-F238E27FC236}">
              <a16:creationId xmlns:a16="http://schemas.microsoft.com/office/drawing/2014/main" id="{00000000-0008-0000-0300-000002000000}"/>
            </a:ext>
          </a:extLst>
        </xdr:cNvPr>
        <xdr:cNvGrpSpPr/>
      </xdr:nvGrpSpPr>
      <xdr:grpSpPr>
        <a:xfrm>
          <a:off x="5901619" y="57150"/>
          <a:ext cx="6642806" cy="3123141"/>
          <a:chOff x="51658" y="206326"/>
          <a:chExt cx="12065000" cy="6852941"/>
        </a:xfrm>
      </xdr:grpSpPr>
      <xdr:sp macro="" textlink="">
        <xdr:nvSpPr>
          <xdr:cNvPr id="3" name="Rectangle 2">
            <a:extLst>
              <a:ext uri="{FF2B5EF4-FFF2-40B4-BE49-F238E27FC236}">
                <a16:creationId xmlns:a16="http://schemas.microsoft.com/office/drawing/2014/main" id="{00000000-0008-0000-0300-000003000000}"/>
              </a:ext>
            </a:extLst>
          </xdr:cNvPr>
          <xdr:cNvSpPr/>
        </xdr:nvSpPr>
        <xdr:spPr>
          <a:xfrm>
            <a:off x="51658" y="244398"/>
            <a:ext cx="12065000" cy="6814869"/>
          </a:xfrm>
          <a:prstGeom prst="rect">
            <a:avLst/>
          </a:prstGeom>
          <a:noFill/>
          <a:ln w="38100"/>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4" name="Oval 3">
            <a:extLst>
              <a:ext uri="{FF2B5EF4-FFF2-40B4-BE49-F238E27FC236}">
                <a16:creationId xmlns:a16="http://schemas.microsoft.com/office/drawing/2014/main" id="{00000000-0008-0000-0300-000004000000}"/>
              </a:ext>
            </a:extLst>
          </xdr:cNvPr>
          <xdr:cNvSpPr/>
        </xdr:nvSpPr>
        <xdr:spPr>
          <a:xfrm>
            <a:off x="3503181" y="1047777"/>
            <a:ext cx="442912" cy="428626"/>
          </a:xfrm>
          <a:prstGeom prst="ellipse">
            <a:avLst/>
          </a:prstGeom>
          <a:solidFill>
            <a:srgbClr val="CD63B1"/>
          </a:solidFill>
          <a:ln>
            <a:noFill/>
          </a:ln>
          <a:effectLst>
            <a:outerShdw blurRad="50800" dist="38100" dir="2700000" algn="tl" rotWithShape="0">
              <a:prstClr val="black">
                <a:alpha val="40000"/>
              </a:prstClr>
            </a:outerShdw>
          </a:effectLst>
          <a:scene3d>
            <a:camera prst="orthographicFront">
              <a:rot lat="0" lon="0" rev="0"/>
            </a:camera>
            <a:lightRig rig="contrasting" dir="t">
              <a:rot lat="0" lon="0" rev="7800000"/>
            </a:lightRig>
          </a:scene3d>
          <a:sp3d>
            <a:bevelT w="139700" h="139700"/>
          </a:sp3d>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5" name="Oval 4">
            <a:extLst>
              <a:ext uri="{FF2B5EF4-FFF2-40B4-BE49-F238E27FC236}">
                <a16:creationId xmlns:a16="http://schemas.microsoft.com/office/drawing/2014/main" id="{00000000-0008-0000-0300-000005000000}"/>
              </a:ext>
            </a:extLst>
          </xdr:cNvPr>
          <xdr:cNvSpPr/>
        </xdr:nvSpPr>
        <xdr:spPr>
          <a:xfrm>
            <a:off x="5524510" y="1085849"/>
            <a:ext cx="442912" cy="428625"/>
          </a:xfrm>
          <a:prstGeom prst="ellipse">
            <a:avLst/>
          </a:prstGeom>
          <a:solidFill>
            <a:schemeClr val="accent2"/>
          </a:solidFill>
          <a:ln>
            <a:noFill/>
          </a:ln>
          <a:effectLst>
            <a:outerShdw blurRad="50800" dist="38100" dir="2700000" algn="tl" rotWithShape="0">
              <a:prstClr val="black">
                <a:alpha val="40000"/>
              </a:prstClr>
            </a:outerShdw>
          </a:effectLst>
          <a:scene3d>
            <a:camera prst="orthographicFront">
              <a:rot lat="0" lon="0" rev="0"/>
            </a:camera>
            <a:lightRig rig="contrasting" dir="t">
              <a:rot lat="0" lon="0" rev="7800000"/>
            </a:lightRig>
          </a:scene3d>
          <a:sp3d>
            <a:bevelT w="139700" h="139700"/>
          </a:sp3d>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6" name="Oval 5">
            <a:extLst>
              <a:ext uri="{FF2B5EF4-FFF2-40B4-BE49-F238E27FC236}">
                <a16:creationId xmlns:a16="http://schemas.microsoft.com/office/drawing/2014/main" id="{00000000-0008-0000-0300-000006000000}"/>
              </a:ext>
            </a:extLst>
          </xdr:cNvPr>
          <xdr:cNvSpPr/>
        </xdr:nvSpPr>
        <xdr:spPr>
          <a:xfrm>
            <a:off x="7408083" y="1085847"/>
            <a:ext cx="442912" cy="428625"/>
          </a:xfrm>
          <a:prstGeom prst="ellipse">
            <a:avLst/>
          </a:prstGeom>
          <a:ln>
            <a:noFill/>
          </a:ln>
          <a:effectLst>
            <a:outerShdw blurRad="50800" dist="38100" dir="2700000" algn="tl" rotWithShape="0">
              <a:prstClr val="black">
                <a:alpha val="40000"/>
              </a:prstClr>
            </a:outerShdw>
          </a:effectLst>
          <a:scene3d>
            <a:camera prst="orthographicFront">
              <a:rot lat="0" lon="0" rev="0"/>
            </a:camera>
            <a:lightRig rig="contrasting" dir="t">
              <a:rot lat="0" lon="0" rev="7800000"/>
            </a:lightRig>
          </a:scene3d>
          <a:sp3d>
            <a:bevelT w="139700" h="139700"/>
          </a:sp3d>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7" name="Oval 6">
            <a:extLst>
              <a:ext uri="{FF2B5EF4-FFF2-40B4-BE49-F238E27FC236}">
                <a16:creationId xmlns:a16="http://schemas.microsoft.com/office/drawing/2014/main" id="{00000000-0008-0000-0300-000007000000}"/>
              </a:ext>
            </a:extLst>
          </xdr:cNvPr>
          <xdr:cNvSpPr/>
        </xdr:nvSpPr>
        <xdr:spPr>
          <a:xfrm>
            <a:off x="9291656" y="1085846"/>
            <a:ext cx="442912" cy="428625"/>
          </a:xfrm>
          <a:prstGeom prst="ellipse">
            <a:avLst/>
          </a:prstGeom>
          <a:solidFill>
            <a:schemeClr val="accent6"/>
          </a:solidFill>
          <a:ln>
            <a:noFill/>
          </a:ln>
          <a:effectLst>
            <a:outerShdw blurRad="50800" dist="38100" dir="2700000" algn="tl" rotWithShape="0">
              <a:prstClr val="black">
                <a:alpha val="40000"/>
              </a:prstClr>
            </a:outerShdw>
          </a:effectLst>
          <a:scene3d>
            <a:camera prst="orthographicFront">
              <a:rot lat="0" lon="0" rev="0"/>
            </a:camera>
            <a:lightRig rig="contrasting" dir="t">
              <a:rot lat="0" lon="0" rev="7800000"/>
            </a:lightRig>
          </a:scene3d>
          <a:sp3d>
            <a:bevelT w="139700" h="139700"/>
          </a:sp3d>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8" name="Oval 7">
            <a:extLst>
              <a:ext uri="{FF2B5EF4-FFF2-40B4-BE49-F238E27FC236}">
                <a16:creationId xmlns:a16="http://schemas.microsoft.com/office/drawing/2014/main" id="{00000000-0008-0000-0300-000008000000}"/>
              </a:ext>
            </a:extLst>
          </xdr:cNvPr>
          <xdr:cNvSpPr/>
        </xdr:nvSpPr>
        <xdr:spPr>
          <a:xfrm>
            <a:off x="1705705" y="1085845"/>
            <a:ext cx="442912" cy="428626"/>
          </a:xfrm>
          <a:prstGeom prst="ellipse">
            <a:avLst/>
          </a:prstGeom>
          <a:solidFill>
            <a:srgbClr val="FF0000"/>
          </a:solidFill>
          <a:ln>
            <a:noFill/>
          </a:ln>
          <a:effectLst>
            <a:outerShdw blurRad="50800" dist="38100" dir="2700000" algn="tl" rotWithShape="0">
              <a:prstClr val="black">
                <a:alpha val="40000"/>
              </a:prstClr>
            </a:outerShdw>
          </a:effectLst>
          <a:scene3d>
            <a:camera prst="orthographicFront">
              <a:rot lat="0" lon="0" rev="0"/>
            </a:camera>
            <a:lightRig rig="contrasting" dir="t">
              <a:rot lat="0" lon="0" rev="7800000"/>
            </a:lightRig>
          </a:scene3d>
          <a:sp3d>
            <a:bevelT w="139700" h="139700"/>
          </a:sp3d>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9" name="TextBox 10">
            <a:extLst>
              <a:ext uri="{FF2B5EF4-FFF2-40B4-BE49-F238E27FC236}">
                <a16:creationId xmlns:a16="http://schemas.microsoft.com/office/drawing/2014/main" id="{00000000-0008-0000-0300-000009000000}"/>
              </a:ext>
            </a:extLst>
          </xdr:cNvPr>
          <xdr:cNvSpPr txBox="1"/>
        </xdr:nvSpPr>
        <xdr:spPr>
          <a:xfrm>
            <a:off x="1759098" y="1543064"/>
            <a:ext cx="301686" cy="640912"/>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a:t>1</a:t>
            </a:r>
          </a:p>
        </xdr:txBody>
      </xdr:sp>
      <xdr:sp macro="" textlink="">
        <xdr:nvSpPr>
          <xdr:cNvPr id="10" name="TextBox 11">
            <a:extLst>
              <a:ext uri="{FF2B5EF4-FFF2-40B4-BE49-F238E27FC236}">
                <a16:creationId xmlns:a16="http://schemas.microsoft.com/office/drawing/2014/main" id="{00000000-0008-0000-0300-00000A000000}"/>
              </a:ext>
            </a:extLst>
          </xdr:cNvPr>
          <xdr:cNvSpPr txBox="1"/>
        </xdr:nvSpPr>
        <xdr:spPr>
          <a:xfrm>
            <a:off x="3711550" y="1562100"/>
            <a:ext cx="301686" cy="640912"/>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a:t>2</a:t>
            </a:r>
          </a:p>
        </xdr:txBody>
      </xdr:sp>
      <xdr:sp macro="" textlink="">
        <xdr:nvSpPr>
          <xdr:cNvPr id="11" name="TextBox 12">
            <a:extLst>
              <a:ext uri="{FF2B5EF4-FFF2-40B4-BE49-F238E27FC236}">
                <a16:creationId xmlns:a16="http://schemas.microsoft.com/office/drawing/2014/main" id="{00000000-0008-0000-0300-00000B000000}"/>
              </a:ext>
            </a:extLst>
          </xdr:cNvPr>
          <xdr:cNvSpPr txBox="1"/>
        </xdr:nvSpPr>
        <xdr:spPr>
          <a:xfrm>
            <a:off x="5612342" y="1562100"/>
            <a:ext cx="301686" cy="640912"/>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a:t>3</a:t>
            </a:r>
          </a:p>
        </xdr:txBody>
      </xdr:sp>
      <xdr:sp macro="" textlink="">
        <xdr:nvSpPr>
          <xdr:cNvPr id="12" name="TextBox 13">
            <a:extLst>
              <a:ext uri="{FF2B5EF4-FFF2-40B4-BE49-F238E27FC236}">
                <a16:creationId xmlns:a16="http://schemas.microsoft.com/office/drawing/2014/main" id="{00000000-0008-0000-0300-00000C000000}"/>
              </a:ext>
            </a:extLst>
          </xdr:cNvPr>
          <xdr:cNvSpPr txBox="1"/>
        </xdr:nvSpPr>
        <xdr:spPr>
          <a:xfrm>
            <a:off x="7513133" y="1562100"/>
            <a:ext cx="301686" cy="640912"/>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a:t>4</a:t>
            </a:r>
          </a:p>
        </xdr:txBody>
      </xdr:sp>
      <xdr:sp macro="" textlink="">
        <xdr:nvSpPr>
          <xdr:cNvPr id="13" name="TextBox 14">
            <a:extLst>
              <a:ext uri="{FF2B5EF4-FFF2-40B4-BE49-F238E27FC236}">
                <a16:creationId xmlns:a16="http://schemas.microsoft.com/office/drawing/2014/main" id="{00000000-0008-0000-0300-00000D000000}"/>
              </a:ext>
            </a:extLst>
          </xdr:cNvPr>
          <xdr:cNvSpPr txBox="1"/>
        </xdr:nvSpPr>
        <xdr:spPr>
          <a:xfrm>
            <a:off x="9413927" y="1578417"/>
            <a:ext cx="301686" cy="640912"/>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a:t>5</a:t>
            </a:r>
          </a:p>
        </xdr:txBody>
      </xdr:sp>
      <xdr:sp macro="" textlink="">
        <xdr:nvSpPr>
          <xdr:cNvPr id="14" name="Rounded Rectangle 13">
            <a:extLst>
              <a:ext uri="{FF2B5EF4-FFF2-40B4-BE49-F238E27FC236}">
                <a16:creationId xmlns:a16="http://schemas.microsoft.com/office/drawing/2014/main" id="{00000000-0008-0000-0300-00000E000000}"/>
              </a:ext>
            </a:extLst>
          </xdr:cNvPr>
          <xdr:cNvSpPr/>
        </xdr:nvSpPr>
        <xdr:spPr>
          <a:xfrm>
            <a:off x="205751" y="3047578"/>
            <a:ext cx="2177631" cy="1935540"/>
          </a:xfrm>
          <a:prstGeom prst="roundRect">
            <a:avLst/>
          </a:prstGeom>
          <a:noFill/>
          <a:ln w="19050"/>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5" name="Rounded Rectangle 14">
            <a:extLst>
              <a:ext uri="{FF2B5EF4-FFF2-40B4-BE49-F238E27FC236}">
                <a16:creationId xmlns:a16="http://schemas.microsoft.com/office/drawing/2014/main" id="{00000000-0008-0000-0300-00000F000000}"/>
              </a:ext>
            </a:extLst>
          </xdr:cNvPr>
          <xdr:cNvSpPr/>
        </xdr:nvSpPr>
        <xdr:spPr>
          <a:xfrm>
            <a:off x="2062776" y="5205085"/>
            <a:ext cx="2937673" cy="1537732"/>
          </a:xfrm>
          <a:prstGeom prst="roundRect">
            <a:avLst/>
          </a:prstGeom>
          <a:noFill/>
          <a:ln w="19050"/>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6" name="Rounded Rectangle 15">
            <a:extLst>
              <a:ext uri="{FF2B5EF4-FFF2-40B4-BE49-F238E27FC236}">
                <a16:creationId xmlns:a16="http://schemas.microsoft.com/office/drawing/2014/main" id="{00000000-0008-0000-0300-000010000000}"/>
              </a:ext>
            </a:extLst>
          </xdr:cNvPr>
          <xdr:cNvSpPr/>
        </xdr:nvSpPr>
        <xdr:spPr>
          <a:xfrm>
            <a:off x="4559496" y="2877276"/>
            <a:ext cx="2192647" cy="2110299"/>
          </a:xfrm>
          <a:prstGeom prst="roundRect">
            <a:avLst/>
          </a:prstGeom>
          <a:noFill/>
          <a:ln w="19050"/>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7" name="Rounded Rectangle 16">
            <a:extLst>
              <a:ext uri="{FF2B5EF4-FFF2-40B4-BE49-F238E27FC236}">
                <a16:creationId xmlns:a16="http://schemas.microsoft.com/office/drawing/2014/main" id="{00000000-0008-0000-0300-000011000000}"/>
              </a:ext>
            </a:extLst>
          </xdr:cNvPr>
          <xdr:cNvSpPr/>
        </xdr:nvSpPr>
        <xdr:spPr>
          <a:xfrm>
            <a:off x="6245275" y="5171554"/>
            <a:ext cx="2896587" cy="1537732"/>
          </a:xfrm>
          <a:prstGeom prst="roundRect">
            <a:avLst/>
          </a:prstGeom>
          <a:noFill/>
          <a:ln w="19050"/>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8" name="Rounded Rectangle 17">
            <a:extLst>
              <a:ext uri="{FF2B5EF4-FFF2-40B4-BE49-F238E27FC236}">
                <a16:creationId xmlns:a16="http://schemas.microsoft.com/office/drawing/2014/main" id="{00000000-0008-0000-0300-000012000000}"/>
              </a:ext>
            </a:extLst>
          </xdr:cNvPr>
          <xdr:cNvSpPr/>
        </xdr:nvSpPr>
        <xdr:spPr>
          <a:xfrm>
            <a:off x="9246772" y="3047578"/>
            <a:ext cx="2576928" cy="2641101"/>
          </a:xfrm>
          <a:prstGeom prst="roundRect">
            <a:avLst/>
          </a:prstGeom>
          <a:noFill/>
          <a:ln w="19050"/>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xnSp macro="">
        <xdr:nvCxnSpPr>
          <xdr:cNvPr id="22" name="Straight Connector 21">
            <a:extLst>
              <a:ext uri="{FF2B5EF4-FFF2-40B4-BE49-F238E27FC236}">
                <a16:creationId xmlns:a16="http://schemas.microsoft.com/office/drawing/2014/main" id="{00000000-0008-0000-0300-000016000000}"/>
              </a:ext>
            </a:extLst>
          </xdr:cNvPr>
          <xdr:cNvCxnSpPr>
            <a:endCxn id="27" idx="0"/>
          </xdr:cNvCxnSpPr>
        </xdr:nvCxnSpPr>
        <xdr:spPr>
          <a:xfrm>
            <a:off x="7595098" y="1649804"/>
            <a:ext cx="164366" cy="3506909"/>
          </a:xfrm>
          <a:prstGeom prst="line">
            <a:avLst/>
          </a:prstGeom>
          <a:ln w="19050"/>
        </xdr:spPr>
        <xdr:style>
          <a:lnRef idx="1">
            <a:schemeClr val="accent1"/>
          </a:lnRef>
          <a:fillRef idx="0">
            <a:schemeClr val="accent1"/>
          </a:fillRef>
          <a:effectRef idx="0">
            <a:schemeClr val="accent1"/>
          </a:effectRef>
          <a:fontRef idx="minor">
            <a:schemeClr val="tx1"/>
          </a:fontRef>
        </xdr:style>
      </xdr:cxnSp>
      <xdr:cxnSp macro="">
        <xdr:nvCxnSpPr>
          <xdr:cNvPr id="23" name="Straight Connector 22">
            <a:extLst>
              <a:ext uri="{FF2B5EF4-FFF2-40B4-BE49-F238E27FC236}">
                <a16:creationId xmlns:a16="http://schemas.microsoft.com/office/drawing/2014/main" id="{00000000-0008-0000-0300-000017000000}"/>
              </a:ext>
            </a:extLst>
          </xdr:cNvPr>
          <xdr:cNvCxnSpPr/>
        </xdr:nvCxnSpPr>
        <xdr:spPr>
          <a:xfrm>
            <a:off x="9478673" y="1577019"/>
            <a:ext cx="9169" cy="1515502"/>
          </a:xfrm>
          <a:prstGeom prst="line">
            <a:avLst/>
          </a:prstGeom>
          <a:ln w="19050"/>
        </xdr:spPr>
        <xdr:style>
          <a:lnRef idx="1">
            <a:schemeClr val="accent1"/>
          </a:lnRef>
          <a:fillRef idx="0">
            <a:schemeClr val="accent1"/>
          </a:fillRef>
          <a:effectRef idx="0">
            <a:schemeClr val="accent1"/>
          </a:effectRef>
          <a:fontRef idx="minor">
            <a:schemeClr val="tx1"/>
          </a:fontRef>
        </xdr:style>
      </xdr:cxnSp>
      <xdr:sp macro="" textlink="">
        <xdr:nvSpPr>
          <xdr:cNvPr id="24" name="TextBox 34">
            <a:extLst>
              <a:ext uri="{FF2B5EF4-FFF2-40B4-BE49-F238E27FC236}">
                <a16:creationId xmlns:a16="http://schemas.microsoft.com/office/drawing/2014/main" id="{00000000-0008-0000-0300-000018000000}"/>
              </a:ext>
            </a:extLst>
          </xdr:cNvPr>
          <xdr:cNvSpPr txBox="1"/>
        </xdr:nvSpPr>
        <xdr:spPr>
          <a:xfrm>
            <a:off x="291705" y="2947503"/>
            <a:ext cx="2153438" cy="1760389"/>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800" b="1">
                <a:latin typeface="+mn-lt"/>
              </a:rPr>
              <a:t>INITIAL</a:t>
            </a:r>
            <a:r>
              <a:rPr lang="en-US" sz="800">
                <a:latin typeface="+mn-lt"/>
              </a:rPr>
              <a:t> – The organization doesn't have formal,  documented updated policies nor updated procedure to support the control. </a:t>
            </a:r>
          </a:p>
        </xdr:txBody>
      </xdr:sp>
      <xdr:sp macro="" textlink="">
        <xdr:nvSpPr>
          <xdr:cNvPr id="25" name="TextBox 35">
            <a:extLst>
              <a:ext uri="{FF2B5EF4-FFF2-40B4-BE49-F238E27FC236}">
                <a16:creationId xmlns:a16="http://schemas.microsoft.com/office/drawing/2014/main" id="{00000000-0008-0000-0300-000019000000}"/>
              </a:ext>
            </a:extLst>
          </xdr:cNvPr>
          <xdr:cNvSpPr txBox="1"/>
        </xdr:nvSpPr>
        <xdr:spPr>
          <a:xfrm>
            <a:off x="2234687" y="5142449"/>
            <a:ext cx="2603940" cy="1610152"/>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800" b="1" kern="1200">
                <a:solidFill>
                  <a:schemeClr val="tx1"/>
                </a:solidFill>
                <a:latin typeface="+mn-lt"/>
                <a:ea typeface="+mn-ea"/>
                <a:cs typeface="+mn-cs"/>
              </a:rPr>
              <a:t>PARTIAL</a:t>
            </a:r>
            <a:r>
              <a:rPr lang="en-US" sz="1000" b="1">
                <a:latin typeface="Univers for KPMG" panose="020B0603020202020204" pitchFamily="34" charset="0"/>
              </a:rPr>
              <a:t> </a:t>
            </a:r>
            <a:r>
              <a:rPr lang="en-US" sz="800">
                <a:latin typeface="+mn-lt"/>
              </a:rPr>
              <a:t>– The organization either has an up-to-date policy documented or there are sufficient controls in place to address security risks.</a:t>
            </a:r>
          </a:p>
        </xdr:txBody>
      </xdr:sp>
      <xdr:sp macro="" textlink="">
        <xdr:nvSpPr>
          <xdr:cNvPr id="26" name="TextBox 36">
            <a:extLst>
              <a:ext uri="{FF2B5EF4-FFF2-40B4-BE49-F238E27FC236}">
                <a16:creationId xmlns:a16="http://schemas.microsoft.com/office/drawing/2014/main" id="{00000000-0008-0000-0300-00001A000000}"/>
              </a:ext>
            </a:extLst>
          </xdr:cNvPr>
          <xdr:cNvSpPr txBox="1"/>
        </xdr:nvSpPr>
        <xdr:spPr>
          <a:xfrm>
            <a:off x="4545310" y="2926602"/>
            <a:ext cx="2308169" cy="2153866"/>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800" b="1">
                <a:latin typeface="+mn-lt"/>
              </a:rPr>
              <a:t>DEFINED </a:t>
            </a:r>
            <a:r>
              <a:rPr lang="en-US" sz="800">
                <a:latin typeface="+mn-lt"/>
              </a:rPr>
              <a:t>– The organization has up-to-date and reviewed policies &amp; procedures and corresponding controls implemented to address the security risks</a:t>
            </a:r>
          </a:p>
        </xdr:txBody>
      </xdr:sp>
      <xdr:sp macro="" textlink="">
        <xdr:nvSpPr>
          <xdr:cNvPr id="27" name="TextBox 37">
            <a:extLst>
              <a:ext uri="{FF2B5EF4-FFF2-40B4-BE49-F238E27FC236}">
                <a16:creationId xmlns:a16="http://schemas.microsoft.com/office/drawing/2014/main" id="{00000000-0008-0000-0300-00001B000000}"/>
              </a:ext>
            </a:extLst>
          </xdr:cNvPr>
          <xdr:cNvSpPr txBox="1"/>
        </xdr:nvSpPr>
        <xdr:spPr>
          <a:xfrm>
            <a:off x="6316927" y="5156713"/>
            <a:ext cx="2885073" cy="1580777"/>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800" b="1">
                <a:latin typeface="+mn-lt"/>
              </a:rPr>
              <a:t>REPEATABLE </a:t>
            </a:r>
            <a:r>
              <a:rPr lang="en-US" sz="800">
                <a:latin typeface="+mn-lt"/>
              </a:rPr>
              <a:t>– The organization has up-to-date and reviewed policies &amp; procedures updated and implemented to measure the effectiveness of the control.</a:t>
            </a:r>
          </a:p>
        </xdr:txBody>
      </xdr:sp>
      <xdr:sp macro="" textlink="">
        <xdr:nvSpPr>
          <xdr:cNvPr id="28" name="TextBox 39">
            <a:extLst>
              <a:ext uri="{FF2B5EF4-FFF2-40B4-BE49-F238E27FC236}">
                <a16:creationId xmlns:a16="http://schemas.microsoft.com/office/drawing/2014/main" id="{00000000-0008-0000-0300-00001C000000}"/>
              </a:ext>
            </a:extLst>
          </xdr:cNvPr>
          <xdr:cNvSpPr txBox="1"/>
        </xdr:nvSpPr>
        <xdr:spPr>
          <a:xfrm>
            <a:off x="9188230" y="3309264"/>
            <a:ext cx="2768862" cy="2270442"/>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800" b="1">
                <a:latin typeface="+mn-lt"/>
              </a:rPr>
              <a:t>ADAPTIVE </a:t>
            </a:r>
            <a:r>
              <a:rPr lang="en-US" sz="800">
                <a:latin typeface="+mn-lt"/>
              </a:rPr>
              <a:t>– The organization has up-to-date policies, procedures and implementation in place and the controls are automated (wherever applicable), continually reviewed and protective</a:t>
            </a:r>
          </a:p>
        </xdr:txBody>
      </xdr:sp>
      <xdr:sp macro="" textlink="">
        <xdr:nvSpPr>
          <xdr:cNvPr id="29" name="TextBox 40">
            <a:extLst>
              <a:ext uri="{FF2B5EF4-FFF2-40B4-BE49-F238E27FC236}">
                <a16:creationId xmlns:a16="http://schemas.microsoft.com/office/drawing/2014/main" id="{00000000-0008-0000-0300-00001D000000}"/>
              </a:ext>
            </a:extLst>
          </xdr:cNvPr>
          <xdr:cNvSpPr txBox="1"/>
        </xdr:nvSpPr>
        <xdr:spPr>
          <a:xfrm>
            <a:off x="2736027" y="206326"/>
            <a:ext cx="7509465" cy="861139"/>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2200" b="1" u="sng">
                <a:solidFill>
                  <a:schemeClr val="tx2"/>
                </a:solidFill>
                <a:latin typeface="Univers for KPMG" panose="020B0603020202020204" pitchFamily="34" charset="0"/>
              </a:rPr>
              <a:t>MATURITY INTERPRETATION</a:t>
            </a:r>
          </a:p>
        </xdr:txBody>
      </xdr:sp>
    </xdr:grpSp>
    <xdr:clientData/>
  </xdr:twoCellAnchor>
  <xdr:twoCellAnchor>
    <xdr:from>
      <xdr:col>9</xdr:col>
      <xdr:colOff>38101</xdr:colOff>
      <xdr:row>3</xdr:row>
      <xdr:rowOff>144832</xdr:rowOff>
    </xdr:from>
    <xdr:to>
      <xdr:col>9</xdr:col>
      <xdr:colOff>60960</xdr:colOff>
      <xdr:row>12</xdr:row>
      <xdr:rowOff>106680</xdr:rowOff>
    </xdr:to>
    <xdr:cxnSp macro="">
      <xdr:nvCxnSpPr>
        <xdr:cNvPr id="41" name="Straight Connector 40">
          <a:extLst>
            <a:ext uri="{FF2B5EF4-FFF2-40B4-BE49-F238E27FC236}">
              <a16:creationId xmlns:a16="http://schemas.microsoft.com/office/drawing/2014/main" id="{00000000-0008-0000-0300-000029000000}"/>
            </a:ext>
          </a:extLst>
        </xdr:cNvPr>
        <xdr:cNvCxnSpPr/>
      </xdr:nvCxnSpPr>
      <xdr:spPr>
        <a:xfrm>
          <a:off x="7833361" y="693472"/>
          <a:ext cx="22859" cy="1607768"/>
        </a:xfrm>
        <a:prstGeom prst="line">
          <a:avLst/>
        </a:prstGeom>
        <a:ln w="190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202734</xdr:colOff>
      <xdr:row>3</xdr:row>
      <xdr:rowOff>181112</xdr:rowOff>
    </xdr:from>
    <xdr:to>
      <xdr:col>7</xdr:col>
      <xdr:colOff>219840</xdr:colOff>
      <xdr:row>7</xdr:row>
      <xdr:rowOff>97872</xdr:rowOff>
    </xdr:to>
    <xdr:cxnSp macro="">
      <xdr:nvCxnSpPr>
        <xdr:cNvPr id="42" name="Straight Connector 41">
          <a:extLst>
            <a:ext uri="{FF2B5EF4-FFF2-40B4-BE49-F238E27FC236}">
              <a16:creationId xmlns:a16="http://schemas.microsoft.com/office/drawing/2014/main" id="{00000000-0008-0000-0300-00002A000000}"/>
            </a:ext>
          </a:extLst>
        </xdr:cNvPr>
        <xdr:cNvCxnSpPr/>
      </xdr:nvCxnSpPr>
      <xdr:spPr>
        <a:xfrm flipH="1">
          <a:off x="6774110" y="726396"/>
          <a:ext cx="17106" cy="643806"/>
        </a:xfrm>
        <a:prstGeom prst="line">
          <a:avLst/>
        </a:prstGeom>
        <a:ln w="190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473876</xdr:colOff>
      <xdr:row>3</xdr:row>
      <xdr:rowOff>130712</xdr:rowOff>
    </xdr:from>
    <xdr:to>
      <xdr:col>10</xdr:col>
      <xdr:colOff>523556</xdr:colOff>
      <xdr:row>7</xdr:row>
      <xdr:rowOff>13143</xdr:rowOff>
    </xdr:to>
    <xdr:cxnSp macro="">
      <xdr:nvCxnSpPr>
        <xdr:cNvPr id="43" name="Straight Connector 42">
          <a:extLst>
            <a:ext uri="{FF2B5EF4-FFF2-40B4-BE49-F238E27FC236}">
              <a16:creationId xmlns:a16="http://schemas.microsoft.com/office/drawing/2014/main" id="{00000000-0008-0000-0300-00002B000000}"/>
            </a:ext>
          </a:extLst>
        </xdr:cNvPr>
        <xdr:cNvCxnSpPr>
          <a:endCxn id="26" idx="0"/>
        </xdr:cNvCxnSpPr>
      </xdr:nvCxnSpPr>
      <xdr:spPr>
        <a:xfrm>
          <a:off x="8869858" y="675996"/>
          <a:ext cx="49680" cy="609477"/>
        </a:xfrm>
        <a:prstGeom prst="line">
          <a:avLst/>
        </a:prstGeom>
        <a:ln w="19050"/>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Standard%20Operating%20Procedure%20(SoP)%20on%20Cyber%20Security%20for%20Government%20Employee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larsentoubro.sharepoint.com/Users/thussain3/Documents/Projects/CMA/Cyber%20Maturity%20Assessment-Master-V1%20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larsentoubro.sharepoint.com/sites/Group-CSAFNPLassessment/Shared%20Documents/General/LT%20Cyber%20Security%20Framework_V2(1%20Multiplier)_A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P"/>
      <sheetName val="Standard Operating Procedure (S"/>
    </sheetNames>
    <sheetDataSet>
      <sheetData sheetId="0"/>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Handling Instructions"/>
      <sheetName val="Data"/>
      <sheetName val="Graph"/>
      <sheetName val="Leadership 1 "/>
      <sheetName val="Human Factors  1"/>
      <sheetName val="Information Risk Management 1"/>
      <sheetName val="Business continuity 1"/>
      <sheetName val="Operations and Technology 1"/>
      <sheetName val="Legal and Compliance 1"/>
      <sheetName val="Technical"/>
      <sheetName val="Cultural Assessment"/>
      <sheetName val="Values"/>
      <sheetName val="Maturity Rat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urity Rating"/>
    </sheetNames>
    <sheetDataSet>
      <sheetData sheetId="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Q18"/>
  <sheetViews>
    <sheetView showGridLines="0" topLeftCell="A6" zoomScaleNormal="100" workbookViewId="0">
      <selection activeCell="B8" sqref="B8:Q8"/>
    </sheetView>
  </sheetViews>
  <sheetFormatPr defaultRowHeight="14.5"/>
  <cols>
    <col min="14" max="15" width="9.08984375" customWidth="1"/>
    <col min="16" max="16" width="9.81640625" customWidth="1"/>
  </cols>
  <sheetData>
    <row r="1" spans="1:17" ht="15" thickBot="1">
      <c r="A1" s="159"/>
      <c r="B1" s="5"/>
      <c r="C1" s="5"/>
      <c r="D1" s="5"/>
      <c r="E1" s="5"/>
      <c r="F1" s="5"/>
      <c r="G1" s="5"/>
      <c r="H1" s="5"/>
      <c r="I1" s="5"/>
      <c r="J1" s="5"/>
      <c r="K1" s="5"/>
      <c r="L1" s="5"/>
      <c r="M1" s="5"/>
      <c r="N1" s="5"/>
      <c r="O1" s="5"/>
      <c r="P1" s="5"/>
    </row>
    <row r="2" spans="1:17">
      <c r="A2" s="5"/>
      <c r="B2" s="6"/>
      <c r="C2" s="7"/>
      <c r="D2" s="7"/>
      <c r="E2" s="7"/>
      <c r="F2" s="7"/>
      <c r="G2" s="7"/>
      <c r="H2" s="7"/>
      <c r="I2" s="7"/>
      <c r="J2" s="7"/>
      <c r="K2" s="7"/>
      <c r="L2" s="7"/>
      <c r="M2" s="7"/>
      <c r="N2" s="7"/>
      <c r="O2" s="7"/>
      <c r="P2" s="7"/>
      <c r="Q2" s="8"/>
    </row>
    <row r="3" spans="1:17">
      <c r="A3" s="5"/>
      <c r="B3" s="9"/>
      <c r="C3" s="10"/>
      <c r="D3" s="10"/>
      <c r="E3" s="10"/>
      <c r="F3" s="10"/>
      <c r="G3" s="10"/>
      <c r="H3" s="10"/>
      <c r="I3" s="10"/>
      <c r="J3" s="10"/>
      <c r="K3" s="10"/>
      <c r="L3" s="10"/>
      <c r="M3" s="10"/>
      <c r="N3" s="10"/>
      <c r="O3" s="11"/>
      <c r="P3" s="10"/>
      <c r="Q3" s="12"/>
    </row>
    <row r="4" spans="1:17">
      <c r="A4" s="5"/>
      <c r="B4" s="9"/>
      <c r="C4" s="10"/>
      <c r="D4" s="10"/>
      <c r="E4" s="10"/>
      <c r="F4" s="10"/>
      <c r="G4" s="10"/>
      <c r="H4" s="10"/>
      <c r="I4" s="10"/>
      <c r="J4" s="10"/>
      <c r="K4" s="10"/>
      <c r="L4" s="10"/>
      <c r="M4" s="10"/>
      <c r="N4" s="10"/>
      <c r="O4" s="10"/>
      <c r="P4" s="10"/>
      <c r="Q4" s="12"/>
    </row>
    <row r="5" spans="1:17" s="5" customFormat="1">
      <c r="B5" s="9"/>
      <c r="C5" s="10"/>
      <c r="D5" s="10"/>
      <c r="E5" s="10"/>
      <c r="F5" s="10"/>
      <c r="G5" s="10"/>
      <c r="H5" s="10"/>
      <c r="I5" s="10"/>
      <c r="J5" s="10"/>
      <c r="K5" s="10"/>
      <c r="L5" s="10"/>
      <c r="M5" s="10"/>
      <c r="N5" s="10"/>
      <c r="O5" s="10"/>
      <c r="P5" s="10"/>
      <c r="Q5" s="13"/>
    </row>
    <row r="6" spans="1:17">
      <c r="B6" s="14"/>
      <c r="C6" s="11"/>
      <c r="D6" s="11"/>
      <c r="E6" s="11"/>
      <c r="F6" s="11"/>
      <c r="G6" s="11"/>
      <c r="H6" s="11"/>
      <c r="I6" s="11"/>
      <c r="J6" s="11"/>
      <c r="K6" s="11"/>
      <c r="L6" s="11"/>
      <c r="M6" s="11"/>
      <c r="N6" s="11"/>
      <c r="O6" s="11"/>
      <c r="P6" s="11"/>
      <c r="Q6" s="12"/>
    </row>
    <row r="7" spans="1:17" s="15" customFormat="1" ht="89.25" customHeight="1">
      <c r="B7" s="309" t="s">
        <v>981</v>
      </c>
      <c r="C7" s="310"/>
      <c r="D7" s="310"/>
      <c r="E7" s="310"/>
      <c r="F7" s="310"/>
      <c r="G7" s="310"/>
      <c r="H7" s="310"/>
      <c r="I7" s="310"/>
      <c r="J7" s="310"/>
      <c r="K7" s="310"/>
      <c r="L7" s="310"/>
      <c r="M7" s="310"/>
      <c r="N7" s="310"/>
      <c r="O7" s="310"/>
      <c r="P7" s="310"/>
      <c r="Q7" s="311"/>
    </row>
    <row r="8" spans="1:17" s="16" customFormat="1" ht="37.5" customHeight="1">
      <c r="B8" s="320" t="s">
        <v>982</v>
      </c>
      <c r="C8" s="321"/>
      <c r="D8" s="321"/>
      <c r="E8" s="321"/>
      <c r="F8" s="321"/>
      <c r="G8" s="321"/>
      <c r="H8" s="321"/>
      <c r="I8" s="321"/>
      <c r="J8" s="321"/>
      <c r="K8" s="321"/>
      <c r="L8" s="321"/>
      <c r="M8" s="321"/>
      <c r="N8" s="321"/>
      <c r="O8" s="321"/>
      <c r="P8" s="321"/>
      <c r="Q8" s="322"/>
    </row>
    <row r="9" spans="1:17" ht="32.25" customHeight="1">
      <c r="A9" s="5"/>
      <c r="B9" s="9"/>
      <c r="C9" s="10"/>
      <c r="D9" s="10"/>
      <c r="E9" s="10"/>
      <c r="F9" s="312" t="s">
        <v>984</v>
      </c>
      <c r="G9" s="313"/>
      <c r="H9" s="313"/>
      <c r="I9" s="313"/>
      <c r="J9" s="313"/>
      <c r="K9" s="313"/>
      <c r="L9" s="313"/>
      <c r="M9" s="313"/>
      <c r="N9" s="10"/>
      <c r="O9" s="10"/>
      <c r="P9" s="10"/>
      <c r="Q9" s="12"/>
    </row>
    <row r="10" spans="1:17" ht="15.5">
      <c r="A10" s="17"/>
      <c r="B10" s="18"/>
      <c r="C10" s="19"/>
      <c r="D10" s="19"/>
      <c r="E10" s="19"/>
      <c r="F10" s="19"/>
      <c r="G10" s="19"/>
      <c r="H10" s="19"/>
      <c r="I10" s="323" t="s">
        <v>0</v>
      </c>
      <c r="J10" s="323"/>
      <c r="K10" s="19"/>
      <c r="L10" s="19"/>
      <c r="M10" s="19"/>
      <c r="N10" s="19"/>
      <c r="O10" s="19"/>
      <c r="P10" s="19"/>
      <c r="Q10" s="12"/>
    </row>
    <row r="11" spans="1:17">
      <c r="A11" s="5"/>
      <c r="B11" s="9"/>
      <c r="C11" s="10"/>
      <c r="D11" s="10"/>
      <c r="E11" s="10"/>
      <c r="F11" s="10"/>
      <c r="G11" s="10"/>
      <c r="H11" s="10"/>
      <c r="I11" s="10"/>
      <c r="J11" s="10"/>
      <c r="K11" s="10"/>
      <c r="L11" s="10"/>
      <c r="M11" s="10"/>
      <c r="N11" s="10"/>
      <c r="O11" s="10"/>
      <c r="P11" s="10"/>
      <c r="Q11" s="12"/>
    </row>
    <row r="12" spans="1:17" s="5" customFormat="1">
      <c r="B12" s="9"/>
      <c r="C12" s="10"/>
      <c r="D12" s="10"/>
      <c r="E12" s="10"/>
      <c r="F12" s="10"/>
      <c r="G12" s="10"/>
      <c r="H12" s="10"/>
      <c r="I12" s="10"/>
      <c r="J12" s="10"/>
      <c r="K12" s="10"/>
      <c r="L12" s="10"/>
      <c r="M12" s="10"/>
      <c r="N12" s="10"/>
      <c r="O12" s="10"/>
      <c r="P12" s="10"/>
      <c r="Q12" s="13"/>
    </row>
    <row r="13" spans="1:17" ht="15" customHeight="1">
      <c r="B13" s="314" t="s">
        <v>983</v>
      </c>
      <c r="C13" s="315"/>
      <c r="D13" s="315"/>
      <c r="E13" s="315"/>
      <c r="F13" s="315"/>
      <c r="G13" s="315"/>
      <c r="H13" s="315"/>
      <c r="I13" s="315"/>
      <c r="J13" s="315"/>
      <c r="K13" s="315"/>
      <c r="L13" s="315"/>
      <c r="M13" s="315"/>
      <c r="N13" s="315"/>
      <c r="O13" s="315"/>
      <c r="P13" s="315"/>
      <c r="Q13" s="316"/>
    </row>
    <row r="14" spans="1:17" ht="15" thickBot="1">
      <c r="A14" s="20"/>
      <c r="B14" s="317"/>
      <c r="C14" s="318"/>
      <c r="D14" s="318"/>
      <c r="E14" s="318"/>
      <c r="F14" s="318"/>
      <c r="G14" s="318"/>
      <c r="H14" s="318"/>
      <c r="I14" s="318"/>
      <c r="J14" s="318"/>
      <c r="K14" s="318"/>
      <c r="L14" s="318"/>
      <c r="M14" s="318"/>
      <c r="N14" s="318"/>
      <c r="O14" s="318"/>
      <c r="P14" s="318"/>
      <c r="Q14" s="319"/>
    </row>
    <row r="15" spans="1:17">
      <c r="A15" s="5"/>
      <c r="B15" s="5"/>
      <c r="C15" s="5"/>
      <c r="D15" s="5"/>
      <c r="E15" s="5"/>
      <c r="F15" s="5"/>
      <c r="G15" s="5"/>
      <c r="H15" s="5"/>
      <c r="I15" s="5"/>
      <c r="J15" s="5"/>
      <c r="K15" s="5"/>
      <c r="L15" s="5"/>
      <c r="M15" s="5"/>
      <c r="N15" s="5"/>
      <c r="O15" s="5"/>
      <c r="P15" s="5"/>
    </row>
    <row r="16" spans="1:17">
      <c r="A16" s="5"/>
      <c r="B16" s="5"/>
      <c r="C16" s="5"/>
      <c r="D16" s="5"/>
      <c r="E16" s="5"/>
      <c r="F16" s="5"/>
      <c r="G16" s="5"/>
      <c r="H16" s="5"/>
      <c r="I16" s="5"/>
      <c r="J16" s="5"/>
      <c r="K16" s="5"/>
      <c r="L16" s="5"/>
      <c r="M16" s="5"/>
      <c r="N16" s="5"/>
      <c r="O16" s="5"/>
      <c r="P16" s="5"/>
    </row>
    <row r="17" spans="1:16">
      <c r="A17" s="5"/>
      <c r="B17" s="5"/>
      <c r="C17" s="5"/>
      <c r="D17" s="5"/>
      <c r="E17" s="5"/>
      <c r="F17" s="5"/>
      <c r="G17" s="5"/>
      <c r="H17" s="5"/>
      <c r="I17" s="5"/>
      <c r="J17" s="5"/>
      <c r="K17" s="5"/>
      <c r="L17" s="5"/>
      <c r="M17" s="5"/>
      <c r="N17" s="5"/>
      <c r="O17" s="5"/>
      <c r="P17" s="5"/>
    </row>
    <row r="18" spans="1:16">
      <c r="A18" s="5"/>
      <c r="B18" s="5"/>
      <c r="C18" s="5"/>
      <c r="D18" s="5"/>
      <c r="E18" s="5" t="s">
        <v>1</v>
      </c>
      <c r="F18" s="5"/>
      <c r="G18" s="5"/>
      <c r="H18" s="5"/>
      <c r="I18" s="5"/>
      <c r="J18" s="5"/>
      <c r="K18" s="5"/>
      <c r="L18" s="5"/>
      <c r="M18" s="5"/>
      <c r="N18" s="5"/>
      <c r="O18" s="5"/>
      <c r="P18" s="5"/>
    </row>
  </sheetData>
  <mergeCells count="5">
    <mergeCell ref="B7:Q7"/>
    <mergeCell ref="F9:M9"/>
    <mergeCell ref="B13:Q14"/>
    <mergeCell ref="B8:Q8"/>
    <mergeCell ref="I10:J10"/>
  </mergeCells>
  <pageMargins left="0.25" right="0.25" top="0.75" bottom="0.75" header="0.3" footer="0.3"/>
  <pageSetup paperSize="9" scale="94"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C4"/>
  <sheetViews>
    <sheetView showGridLines="0" zoomScale="120" zoomScaleNormal="120" workbookViewId="0">
      <selection activeCell="C2" sqref="C2"/>
    </sheetView>
  </sheetViews>
  <sheetFormatPr defaultRowHeight="14.5"/>
  <cols>
    <col min="2" max="2" width="44.08984375" customWidth="1"/>
    <col min="3" max="3" width="16" customWidth="1"/>
  </cols>
  <sheetData>
    <row r="1" spans="1:3" ht="21" customHeight="1">
      <c r="A1" s="42" t="s">
        <v>2</v>
      </c>
      <c r="B1" s="43" t="s">
        <v>3</v>
      </c>
      <c r="C1" s="44" t="s">
        <v>4</v>
      </c>
    </row>
    <row r="2" spans="1:3" ht="28.5" customHeight="1">
      <c r="A2" s="34">
        <v>1</v>
      </c>
      <c r="B2" s="102" t="s">
        <v>5</v>
      </c>
      <c r="C2" s="35" t="s">
        <v>6</v>
      </c>
    </row>
    <row r="3" spans="1:3" ht="30" customHeight="1">
      <c r="A3" s="34">
        <v>2</v>
      </c>
      <c r="B3" s="102" t="s">
        <v>7</v>
      </c>
      <c r="C3" s="35" t="s">
        <v>6</v>
      </c>
    </row>
    <row r="4" spans="1:3" ht="33" customHeight="1">
      <c r="A4" s="34">
        <v>3</v>
      </c>
      <c r="B4" s="102" t="s">
        <v>8</v>
      </c>
      <c r="C4" s="35" t="s">
        <v>6</v>
      </c>
    </row>
  </sheetData>
  <hyperlinks>
    <hyperlink ref="C3" location="'Security Domains'!A1" display="Click Here" xr:uid="{00000000-0004-0000-0100-000000000000}"/>
    <hyperlink ref="C4" location="Observations!A1" display="Click Here" xr:uid="{00000000-0004-0000-0100-000001000000}"/>
    <hyperlink ref="C2" location="'Read Me'!A1" display="Click Here" xr:uid="{00000000-0004-0000-0100-000002000000}"/>
  </hyperlinks>
  <pageMargins left="0.25" right="0.25" top="0.75" bottom="0.75" header="0.3" footer="0.3"/>
  <pageSetup paperSize="9"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E35"/>
  <sheetViews>
    <sheetView showGridLines="0" zoomScale="70" zoomScaleNormal="100" workbookViewId="0">
      <selection sqref="A1:E1"/>
    </sheetView>
  </sheetViews>
  <sheetFormatPr defaultColWidth="9.08984375" defaultRowHeight="14.5"/>
  <cols>
    <col min="1" max="1" width="20.36328125" style="24" customWidth="1"/>
    <col min="2" max="2" width="46.81640625" style="24" customWidth="1"/>
    <col min="3" max="3" width="13.36328125" style="24" bestFit="1" customWidth="1"/>
    <col min="4" max="4" width="11.54296875" style="24" bestFit="1" customWidth="1"/>
    <col min="5" max="16384" width="9.08984375" style="24"/>
  </cols>
  <sheetData>
    <row r="1" spans="1:5" s="104" customFormat="1" ht="18.75" customHeight="1">
      <c r="A1" s="326" t="s">
        <v>9</v>
      </c>
      <c r="B1" s="326"/>
      <c r="C1" s="326"/>
      <c r="D1" s="326"/>
      <c r="E1" s="326"/>
    </row>
    <row r="2" spans="1:5">
      <c r="A2" s="327" t="s">
        <v>10</v>
      </c>
      <c r="B2" s="327"/>
      <c r="C2" s="327"/>
      <c r="D2" s="327"/>
      <c r="E2" s="327"/>
    </row>
    <row r="3" spans="1:5" ht="12" customHeight="1">
      <c r="A3" s="331"/>
      <c r="B3" s="331"/>
      <c r="C3" s="331"/>
      <c r="D3" s="331"/>
      <c r="E3" s="331"/>
    </row>
    <row r="4" spans="1:5" ht="18.5">
      <c r="A4" s="326" t="s">
        <v>11</v>
      </c>
      <c r="B4" s="326"/>
      <c r="C4" s="326"/>
      <c r="D4" s="326"/>
      <c r="E4" s="326"/>
    </row>
    <row r="5" spans="1:5" ht="62.25" customHeight="1">
      <c r="A5" s="327" t="s">
        <v>12</v>
      </c>
      <c r="B5" s="327"/>
      <c r="C5" s="327"/>
      <c r="D5" s="327"/>
      <c r="E5" s="327"/>
    </row>
    <row r="6" spans="1:5">
      <c r="A6" s="325"/>
      <c r="B6" s="325"/>
      <c r="C6" s="325"/>
      <c r="D6" s="325"/>
      <c r="E6" s="325"/>
    </row>
    <row r="7" spans="1:5" ht="15" customHeight="1">
      <c r="A7" s="326" t="s">
        <v>13</v>
      </c>
      <c r="B7" s="326"/>
      <c r="C7" s="326"/>
      <c r="D7" s="326"/>
      <c r="E7" s="326"/>
    </row>
    <row r="8" spans="1:5" ht="15" customHeight="1">
      <c r="A8" s="327" t="s">
        <v>14</v>
      </c>
      <c r="B8" s="327"/>
      <c r="C8" s="327"/>
      <c r="D8" s="327"/>
      <c r="E8" s="327"/>
    </row>
    <row r="9" spans="1:5">
      <c r="A9" s="103" t="s">
        <v>15</v>
      </c>
    </row>
    <row r="10" spans="1:5" ht="15" customHeight="1">
      <c r="A10" s="103" t="s">
        <v>16</v>
      </c>
      <c r="B10" s="103"/>
      <c r="C10" s="103"/>
      <c r="D10" s="103"/>
      <c r="E10" s="103"/>
    </row>
    <row r="11" spans="1:5">
      <c r="A11" s="103" t="s">
        <v>17</v>
      </c>
    </row>
    <row r="12" spans="1:5">
      <c r="A12" s="103" t="s">
        <v>18</v>
      </c>
    </row>
    <row r="13" spans="1:5">
      <c r="A13" s="103" t="s">
        <v>19</v>
      </c>
    </row>
    <row r="20" spans="1:5" ht="18.75" customHeight="1"/>
    <row r="21" spans="1:5">
      <c r="A21" s="103" t="s">
        <v>20</v>
      </c>
    </row>
    <row r="22" spans="1:5" ht="15.75" customHeight="1">
      <c r="A22" s="103" t="s">
        <v>21</v>
      </c>
    </row>
    <row r="23" spans="1:5" ht="15" thickBot="1"/>
    <row r="24" spans="1:5" ht="18.75" customHeight="1">
      <c r="A24" s="328" t="s">
        <v>22</v>
      </c>
      <c r="B24" s="329"/>
      <c r="C24" s="330"/>
      <c r="D24" s="207"/>
      <c r="E24" s="207"/>
    </row>
    <row r="25" spans="1:5">
      <c r="A25" s="208" t="s">
        <v>23</v>
      </c>
      <c r="B25" s="209" t="s">
        <v>24</v>
      </c>
      <c r="C25" s="210" t="s">
        <v>25</v>
      </c>
      <c r="D25" s="207"/>
      <c r="E25" s="207"/>
    </row>
    <row r="26" spans="1:5" ht="29">
      <c r="A26" s="211" t="s">
        <v>26</v>
      </c>
      <c r="B26" s="212" t="s">
        <v>27</v>
      </c>
      <c r="C26" s="213" t="s">
        <v>28</v>
      </c>
      <c r="D26" s="207"/>
      <c r="E26" s="207"/>
    </row>
    <row r="27" spans="1:5" ht="29">
      <c r="A27" s="211" t="s">
        <v>29</v>
      </c>
      <c r="B27" s="212" t="s">
        <v>30</v>
      </c>
      <c r="C27" s="213" t="s">
        <v>31</v>
      </c>
      <c r="D27" s="207"/>
      <c r="E27" s="207"/>
    </row>
    <row r="28" spans="1:5" ht="29">
      <c r="A28" s="211" t="s">
        <v>32</v>
      </c>
      <c r="B28" s="212" t="s">
        <v>33</v>
      </c>
      <c r="C28" s="213" t="s">
        <v>34</v>
      </c>
      <c r="D28" s="207"/>
      <c r="E28" s="207"/>
    </row>
    <row r="29" spans="1:5" ht="15" thickBot="1">
      <c r="A29" s="214" t="s">
        <v>35</v>
      </c>
      <c r="B29" s="215" t="s">
        <v>36</v>
      </c>
      <c r="C29" s="216" t="s">
        <v>37</v>
      </c>
      <c r="D29" s="207"/>
      <c r="E29" s="207"/>
    </row>
    <row r="30" spans="1:5">
      <c r="A30" s="217" t="s">
        <v>38</v>
      </c>
      <c r="B30" s="207"/>
      <c r="C30" s="207"/>
      <c r="D30" s="207"/>
      <c r="E30" s="207"/>
    </row>
    <row r="31" spans="1:5">
      <c r="A31" s="207"/>
      <c r="B31" s="207"/>
      <c r="C31" s="207"/>
      <c r="D31" s="207"/>
      <c r="E31" s="207"/>
    </row>
    <row r="32" spans="1:5" ht="19" thickBot="1">
      <c r="A32" s="324" t="s">
        <v>39</v>
      </c>
      <c r="B32" s="324"/>
      <c r="C32" s="324"/>
      <c r="D32" s="324"/>
      <c r="E32" s="324"/>
    </row>
    <row r="33" spans="1:5">
      <c r="A33" s="218" t="s">
        <v>40</v>
      </c>
      <c r="B33" s="219" t="s">
        <v>41</v>
      </c>
      <c r="C33" s="207"/>
      <c r="D33" s="207"/>
      <c r="E33" s="207"/>
    </row>
    <row r="34" spans="1:5">
      <c r="A34" s="220">
        <v>1</v>
      </c>
      <c r="B34" s="221" t="s">
        <v>42</v>
      </c>
      <c r="C34" s="207"/>
      <c r="D34" s="207"/>
      <c r="E34" s="207"/>
    </row>
    <row r="35" spans="1:5" ht="305" thickBot="1">
      <c r="A35" s="222">
        <v>2</v>
      </c>
      <c r="B35" s="223" t="s">
        <v>43</v>
      </c>
      <c r="C35" s="207"/>
      <c r="D35" s="207"/>
      <c r="E35" s="207"/>
    </row>
  </sheetData>
  <mergeCells count="10">
    <mergeCell ref="A1:E1"/>
    <mergeCell ref="A2:E2"/>
    <mergeCell ref="A3:E3"/>
    <mergeCell ref="A4:E4"/>
    <mergeCell ref="A5:E5"/>
    <mergeCell ref="A32:E32"/>
    <mergeCell ref="A6:E6"/>
    <mergeCell ref="A7:E7"/>
    <mergeCell ref="A8:E8"/>
    <mergeCell ref="A24:C24"/>
  </mergeCells>
  <pageMargins left="0.25" right="0.25" top="0.75" bottom="0.75" header="0.3" footer="0.3"/>
  <pageSetup paperSize="9" fitToHeight="0"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21"/>
  <sheetViews>
    <sheetView showGridLines="0" tabSelected="1" topLeftCell="B1" zoomScale="90" zoomScaleNormal="90" workbookViewId="0">
      <selection activeCell="B2" sqref="B2"/>
    </sheetView>
  </sheetViews>
  <sheetFormatPr defaultRowHeight="14.5"/>
  <cols>
    <col min="1" max="1" width="6.1796875" bestFit="1" customWidth="1"/>
    <col min="2" max="2" width="33.6328125" bestFit="1" customWidth="1"/>
    <col min="3" max="3" width="14.81640625" bestFit="1" customWidth="1"/>
    <col min="4" max="4" width="23.453125" bestFit="1" customWidth="1"/>
    <col min="5" max="5" width="0" hidden="1" customWidth="1"/>
  </cols>
  <sheetData>
    <row r="1" spans="1:14">
      <c r="A1" s="29" t="s">
        <v>2</v>
      </c>
      <c r="B1" s="30" t="s">
        <v>44</v>
      </c>
      <c r="C1" s="30" t="s">
        <v>45</v>
      </c>
      <c r="D1" s="31" t="s">
        <v>46</v>
      </c>
    </row>
    <row r="2" spans="1:14">
      <c r="A2" s="308">
        <v>1</v>
      </c>
      <c r="B2" s="37" t="s">
        <v>47</v>
      </c>
      <c r="C2" s="39">
        <f>'IS Governance'!F1</f>
        <v>3.2222222222222228</v>
      </c>
      <c r="D2" s="32" t="str">
        <f>'IS Governance'!E1</f>
        <v>Defined</v>
      </c>
    </row>
    <row r="3" spans="1:14">
      <c r="A3" s="153">
        <v>2</v>
      </c>
      <c r="B3" s="37" t="s">
        <v>48</v>
      </c>
      <c r="C3" s="39">
        <f>'Access Management'!F1</f>
        <v>2.6837962962962965</v>
      </c>
      <c r="D3" s="32" t="str">
        <f>'Access Management'!E1</f>
        <v>Partial</v>
      </c>
    </row>
    <row r="4" spans="1:14">
      <c r="A4" s="153">
        <v>3</v>
      </c>
      <c r="B4" s="37" t="s">
        <v>49</v>
      </c>
      <c r="C4" s="39">
        <f>'Asset Management'!F1</f>
        <v>2.7732563732563733</v>
      </c>
      <c r="D4" s="32" t="str">
        <f>'Asset Management'!E1</f>
        <v>Partial</v>
      </c>
    </row>
    <row r="5" spans="1:14">
      <c r="A5" s="153">
        <v>4</v>
      </c>
      <c r="B5" s="37" t="s">
        <v>50</v>
      </c>
      <c r="C5" s="39">
        <f>'Incident Management'!F1</f>
        <v>4.7861111111111114</v>
      </c>
      <c r="D5" s="105" t="str">
        <f>'Incident Management'!E1</f>
        <v>Repeatable</v>
      </c>
    </row>
    <row r="6" spans="1:14">
      <c r="A6" s="153">
        <v>5</v>
      </c>
      <c r="B6" s="37" t="s">
        <v>51</v>
      </c>
      <c r="C6" s="39">
        <f>'Infra and Operations Sec'!F1</f>
        <v>2.5062483812483811</v>
      </c>
      <c r="D6" s="32" t="str">
        <f>'Infra and Operations Sec'!E1</f>
        <v>Partial</v>
      </c>
    </row>
    <row r="7" spans="1:14">
      <c r="A7" s="153">
        <v>6</v>
      </c>
      <c r="B7" s="38" t="s">
        <v>53</v>
      </c>
      <c r="C7" s="39">
        <f>'Emerging Technology'!F1</f>
        <v>4.3279671717171713</v>
      </c>
      <c r="D7" s="32" t="str">
        <f>'Emerging Technology'!E1</f>
        <v>Repeatable</v>
      </c>
    </row>
    <row r="8" spans="1:14">
      <c r="A8" s="153">
        <v>7</v>
      </c>
      <c r="B8" s="38" t="s">
        <v>54</v>
      </c>
      <c r="C8" s="39">
        <f>'Network Security'!F1</f>
        <v>2.9475565329731999</v>
      </c>
      <c r="D8" s="32" t="str">
        <f>'Network Security'!E1</f>
        <v>Partial</v>
      </c>
      <c r="N8" s="47"/>
    </row>
    <row r="9" spans="1:14">
      <c r="A9" s="153">
        <v>8</v>
      </c>
      <c r="B9" s="38" t="s">
        <v>55</v>
      </c>
      <c r="C9" s="39">
        <f>'Endpoint Protection'!F1</f>
        <v>3.0547542735042739</v>
      </c>
      <c r="D9" s="32" t="str">
        <f>'Endpoint Protection'!E1</f>
        <v>Defined</v>
      </c>
    </row>
    <row r="10" spans="1:14">
      <c r="A10" s="153">
        <v>9</v>
      </c>
      <c r="B10" s="37" t="s">
        <v>56</v>
      </c>
      <c r="C10" s="39">
        <f>'Application Security'!F1</f>
        <v>4.1188775510204074</v>
      </c>
      <c r="D10" s="32" t="str">
        <f>'Application Security'!E1</f>
        <v>Repeatable</v>
      </c>
    </row>
    <row r="11" spans="1:14">
      <c r="A11" s="153">
        <v>10</v>
      </c>
      <c r="B11" s="38" t="s">
        <v>58</v>
      </c>
      <c r="C11" s="39">
        <f>'Risk Management'!F1</f>
        <v>3.9027777777777781</v>
      </c>
      <c r="D11" s="32" t="str">
        <f>'Risk Management'!E1</f>
        <v>Defined</v>
      </c>
    </row>
    <row r="12" spans="1:14">
      <c r="A12" s="153">
        <v>11</v>
      </c>
      <c r="B12" s="38" t="s">
        <v>59</v>
      </c>
      <c r="C12" s="39">
        <f>'Human Resource Security'!F1</f>
        <v>4.5555555555555562</v>
      </c>
      <c r="D12" s="32" t="str">
        <f>'Human Resource Security'!E1</f>
        <v>Repeatable</v>
      </c>
    </row>
    <row r="13" spans="1:14">
      <c r="A13" s="153">
        <v>12</v>
      </c>
      <c r="B13" s="38" t="s">
        <v>60</v>
      </c>
      <c r="C13" s="39">
        <f>'Business Continuity'!F1</f>
        <v>3.6158119658119658</v>
      </c>
      <c r="D13" s="32" t="str">
        <f>'Business Continuity'!E1</f>
        <v>Defined</v>
      </c>
    </row>
    <row r="14" spans="1:14">
      <c r="A14" s="153">
        <v>13</v>
      </c>
      <c r="B14" s="38" t="s">
        <v>61</v>
      </c>
      <c r="C14" s="39">
        <f>'Physical and Environment'!F1</f>
        <v>3.9193121693121689</v>
      </c>
      <c r="D14" s="32" t="str">
        <f>'Physical and Environment'!E1</f>
        <v>Defined</v>
      </c>
    </row>
    <row r="15" spans="1:14">
      <c r="A15" s="153">
        <v>14</v>
      </c>
      <c r="B15" s="38" t="s">
        <v>62</v>
      </c>
      <c r="C15" s="39">
        <f>'Third Party'!F1</f>
        <v>3.9316520467836256</v>
      </c>
      <c r="D15" s="32" t="str">
        <f>'Third Party'!E1</f>
        <v>Defined</v>
      </c>
    </row>
    <row r="16" spans="1:14" ht="15" thickBot="1">
      <c r="A16" s="156">
        <v>15</v>
      </c>
      <c r="B16" s="40" t="s">
        <v>63</v>
      </c>
      <c r="C16" s="41">
        <f>'Compliance management'!F1</f>
        <v>3.2819444444444446</v>
      </c>
      <c r="D16" s="33" t="str">
        <f>'Compliance management'!E1</f>
        <v>Defined</v>
      </c>
    </row>
    <row r="17" spans="2:5" ht="15" thickBot="1"/>
    <row r="18" spans="2:5" ht="19.5" customHeight="1" thickBot="1">
      <c r="B18" s="133" t="s">
        <v>64</v>
      </c>
      <c r="C18" s="135">
        <f>AVERAGE(C2:C16)</f>
        <v>3.5751895915356644</v>
      </c>
      <c r="D18" s="134" t="str">
        <f>IF(C18="NA","Not Applicable",VLOOKUP(C19,'Maturity Rating'!G4:H8,2,FALSE))</f>
        <v>Defined</v>
      </c>
    </row>
    <row r="19" spans="2:5">
      <c r="C19" s="117">
        <f>ROUNDDOWN(C18,0)</f>
        <v>3</v>
      </c>
      <c r="D19" s="189"/>
    </row>
    <row r="20" spans="2:5">
      <c r="E20" s="26">
        <f>ROUND(C18,0)</f>
        <v>4</v>
      </c>
    </row>
    <row r="21" spans="2:5">
      <c r="B21" s="189" t="s">
        <v>65</v>
      </c>
      <c r="C21" s="224" t="e">
        <f>(SUM(C2:C16)-#REF!)/16</f>
        <v>#REF!</v>
      </c>
    </row>
  </sheetData>
  <hyperlinks>
    <hyperlink ref="B2" location="'IS Governance'!A1" display="IS Governance" xr:uid="{00000000-0004-0000-0300-000000000000}"/>
    <hyperlink ref="B4" location="'Asset Management'!A1" display="Asset Management" xr:uid="{00000000-0004-0000-0300-000001000000}"/>
    <hyperlink ref="B8" location="'Network Security'!A1" display="Network Security" xr:uid="{00000000-0004-0000-0300-000003000000}"/>
    <hyperlink ref="B9" location="'Endpoint Protection'!A1" display="Endpoint Protection" xr:uid="{00000000-0004-0000-0300-000004000000}"/>
    <hyperlink ref="B3" location="'Access Management'!A1" display="Access Management" xr:uid="{00000000-0004-0000-0300-000006000000}"/>
    <hyperlink ref="B11" location="'Risk Management'!A1" display="Risk Management" xr:uid="{00000000-0004-0000-0300-000007000000}"/>
    <hyperlink ref="B13" location="'Business Continuity'!A1" display="Business Continuity" xr:uid="{00000000-0004-0000-0300-000008000000}"/>
    <hyperlink ref="B15" location="'Third Party'!A1" display="Third Party Security" xr:uid="{00000000-0004-0000-0300-000009000000}"/>
    <hyperlink ref="B16" location="'Compliance Management'!A1" display="Compliance Management" xr:uid="{00000000-0004-0000-0300-00000A000000}"/>
    <hyperlink ref="B10" location="'Application Security'!A1" display="Application Security" xr:uid="{00000000-0004-0000-0300-00000B000000}"/>
    <hyperlink ref="B12" location="'Human Resource Security'!A1" display="Human Resource Security" xr:uid="{00000000-0004-0000-0300-00000D000000}"/>
    <hyperlink ref="B7" location="'Emerging Technology'!A1" display="Emerging Technologies" xr:uid="{00000000-0004-0000-0300-00000F000000}"/>
    <hyperlink ref="B6" location="'Infra and Operations Sec'!A1" display="Infrastructure &amp; Operations Security" xr:uid="{00000000-0004-0000-0300-000010000000}"/>
    <hyperlink ref="B5" location="'Incident Management'!A1" display="Incident Management" xr:uid="{00000000-0004-0000-0300-000011000000}"/>
    <hyperlink ref="B14" location="'Physical and Environment'!A1" display="Physical &amp; Environmental Security" xr:uid="{00000000-0004-0000-0300-000012000000}"/>
  </hyperlinks>
  <pageMargins left="0.7" right="0.7" top="0.75" bottom="0.75" header="0.3" footer="0.3"/>
  <pageSetup paperSize="9" orientation="portrait" r:id="rId1"/>
  <ignoredErrors>
    <ignoredError sqref="C2:D3 C18:D18 C19 C8:D10 C15:D16 D14 C11:D13 D7 C5:D6 C4" evalError="1"/>
  </ignoredErrors>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2"/>
  </sheetPr>
  <dimension ref="A1:Z21"/>
  <sheetViews>
    <sheetView showGridLines="0" topLeftCell="E1" zoomScale="80" zoomScaleNormal="70" workbookViewId="0"/>
  </sheetViews>
  <sheetFormatPr defaultColWidth="9.08984375" defaultRowHeight="14.5"/>
  <cols>
    <col min="1" max="1" width="6.453125" style="22" bestFit="1" customWidth="1"/>
    <col min="2" max="2" width="23.08984375" style="24" customWidth="1"/>
    <col min="3" max="3" width="34.90625" style="25" customWidth="1"/>
    <col min="4" max="4" width="25" style="25" customWidth="1"/>
    <col min="5" max="5" width="79.1796875" style="24" customWidth="1"/>
    <col min="6" max="6" width="31.36328125" style="62" customWidth="1"/>
    <col min="7" max="8" width="20.6328125" style="62" customWidth="1"/>
    <col min="9" max="9" width="20.90625" style="62" customWidth="1"/>
    <col min="10" max="10" width="20.6328125" style="62" customWidth="1"/>
    <col min="11" max="11" width="13.6328125" style="24" customWidth="1"/>
    <col min="12" max="12" width="26.36328125" style="24" customWidth="1"/>
    <col min="13" max="13" width="18.81640625" style="24" customWidth="1"/>
    <col min="14" max="14" width="20.90625" style="24" customWidth="1"/>
    <col min="15" max="15" width="13.6328125" style="24" customWidth="1"/>
    <col min="16" max="16" width="3.36328125" customWidth="1"/>
    <col min="17" max="17" width="2" hidden="1" customWidth="1"/>
    <col min="18" max="18" width="2.81640625" hidden="1" customWidth="1"/>
    <col min="19" max="19" width="3.36328125" style="189" hidden="1" customWidth="1"/>
    <col min="20" max="20" width="3.6328125" style="189" hidden="1" customWidth="1"/>
    <col min="21" max="21" width="7" style="189" hidden="1" customWidth="1"/>
    <col min="22" max="22" width="5.90625" style="189" hidden="1" customWidth="1"/>
    <col min="23" max="24" width="6.453125" hidden="1" customWidth="1"/>
    <col min="25" max="25" width="3.81640625" hidden="1" customWidth="1"/>
    <col min="27" max="16384" width="9.08984375" style="24"/>
  </cols>
  <sheetData>
    <row r="1" spans="1:26" ht="19" thickBot="1">
      <c r="C1" s="353" t="s">
        <v>66</v>
      </c>
      <c r="D1" s="354"/>
      <c r="E1" s="45" t="str">
        <f>IF(F1="NA","Not Applicable",VLOOKUP(T1,'Maturity Rating'!G4:H8,2,FALSE))</f>
        <v>Defined</v>
      </c>
      <c r="F1" s="46">
        <f>IF(U1="NANANA","NA",AVERAGE(N4:N20))</f>
        <v>3.2222222222222228</v>
      </c>
      <c r="G1" s="22"/>
      <c r="J1" s="83"/>
      <c r="K1" s="84"/>
      <c r="Q1" s="224"/>
      <c r="S1"/>
      <c r="T1" s="225">
        <f>ROUNDDOWN(F1,0)</f>
        <v>3</v>
      </c>
      <c r="U1" s="226" t="str">
        <f>CONCATENATE(N4,N10,N17)</f>
        <v>53.666666666666671</v>
      </c>
      <c r="V1"/>
    </row>
    <row r="2" spans="1:26" ht="15" thickBot="1"/>
    <row r="3" spans="1:26" s="22" customFormat="1" ht="29.5" thickBot="1">
      <c r="A3" s="88" t="s">
        <v>2</v>
      </c>
      <c r="B3" s="81" t="s">
        <v>67</v>
      </c>
      <c r="C3" s="81" t="s">
        <v>68</v>
      </c>
      <c r="D3" s="81" t="s">
        <v>69</v>
      </c>
      <c r="E3" s="81" t="s">
        <v>70</v>
      </c>
      <c r="F3" s="81" t="s">
        <v>71</v>
      </c>
      <c r="G3" s="81" t="s">
        <v>72</v>
      </c>
      <c r="H3" s="81" t="s">
        <v>73</v>
      </c>
      <c r="I3" s="81" t="s">
        <v>74</v>
      </c>
      <c r="J3" s="81" t="s">
        <v>75</v>
      </c>
      <c r="K3" s="81" t="s">
        <v>76</v>
      </c>
      <c r="L3" s="81" t="s">
        <v>77</v>
      </c>
      <c r="M3" s="81" t="s">
        <v>78</v>
      </c>
      <c r="N3" s="81" t="s">
        <v>79</v>
      </c>
      <c r="O3" s="89" t="s">
        <v>80</v>
      </c>
      <c r="P3"/>
      <c r="Q3"/>
      <c r="R3"/>
      <c r="S3" s="227" t="s">
        <v>81</v>
      </c>
      <c r="T3" s="227" t="s">
        <v>82</v>
      </c>
      <c r="U3" s="227" t="s">
        <v>83</v>
      </c>
      <c r="V3" s="227" t="s">
        <v>84</v>
      </c>
      <c r="W3" s="228"/>
      <c r="X3" s="228"/>
      <c r="Y3" s="228"/>
      <c r="Z3" s="228"/>
    </row>
    <row r="4" spans="1:26" ht="29">
      <c r="A4" s="93">
        <v>1.1000000000000001</v>
      </c>
      <c r="B4" s="344" t="s">
        <v>85</v>
      </c>
      <c r="C4" s="348" t="s">
        <v>142</v>
      </c>
      <c r="D4" s="263" t="s">
        <v>87</v>
      </c>
      <c r="E4" s="51" t="s">
        <v>143</v>
      </c>
      <c r="F4" s="87" t="s">
        <v>89</v>
      </c>
      <c r="G4" s="263" t="s">
        <v>118</v>
      </c>
      <c r="H4" s="263" t="s">
        <v>100</v>
      </c>
      <c r="I4" s="263" t="s">
        <v>120</v>
      </c>
      <c r="J4" s="257" t="s">
        <v>129</v>
      </c>
      <c r="K4" s="271">
        <f>IF(W4="NANANANA",S4,IF(AND(OR(G4="Formally Documented",G4="Informally Documented"),H4="Not Implemented"),0.5*AVERAGE(S4:V4),AVERAGE(S4:V4)))</f>
        <v>3</v>
      </c>
      <c r="L4" s="271">
        <f>IF(AND(D4="K",K4=1),'Maturity Rating'!$E$8,IF(K4="NA",K4,IF(D4="K",K4*'Maturity Rating'!$E$7,K4)))</f>
        <v>3.5999999999999996</v>
      </c>
      <c r="M4" s="338">
        <f>IF(X4="NANANANA",K4,AVERAGE(L4:L9))</f>
        <v>3.0583333333333336</v>
      </c>
      <c r="N4" s="339">
        <f>IF(M4&lt;1.1,1,IF(M4="NA",M4,(MIN(5,M4/3*5))))</f>
        <v>5</v>
      </c>
      <c r="O4" s="351" t="str">
        <f>IF(N4="NA",N4,VLOOKUP(Q4,'Maturity Rating'!G4:H8,2,FALSE))</f>
        <v>Adaptive</v>
      </c>
      <c r="P4" s="27"/>
      <c r="Q4" s="229">
        <f>IF(N4="NA",N4,ROUNDDOWN(N4,0))</f>
        <v>5</v>
      </c>
      <c r="S4" s="114">
        <f>VLOOKUP(G4,'Maturity Rating'!A$2:B$5,2,FALSE)</f>
        <v>3</v>
      </c>
      <c r="T4" s="114">
        <f>VLOOKUP(H4,'Maturity Rating'!A$8:B$11,2,FALSE)</f>
        <v>3</v>
      </c>
      <c r="U4" s="114">
        <f>VLOOKUP(I4,'Maturity Rating'!A$14:B$17,2,FALSE)</f>
        <v>3</v>
      </c>
      <c r="V4" s="114">
        <f>VLOOKUP(J4,'Maturity Rating'!A$20:B$23,2,FALSE)</f>
        <v>3</v>
      </c>
      <c r="W4" t="str">
        <f>CONCATENATE(S4,T4,U4,V4)</f>
        <v>3333</v>
      </c>
      <c r="X4" t="str">
        <f>CONCATENATE(L4,L5,L6,L9)</f>
        <v>3.632.753</v>
      </c>
    </row>
    <row r="5" spans="1:26" ht="29">
      <c r="A5" s="74">
        <v>1.2</v>
      </c>
      <c r="B5" s="345"/>
      <c r="C5" s="349"/>
      <c r="D5" s="257"/>
      <c r="E5" s="266" t="s">
        <v>93</v>
      </c>
      <c r="F5" s="79" t="s">
        <v>89</v>
      </c>
      <c r="G5" s="263" t="s">
        <v>118</v>
      </c>
      <c r="H5" s="263" t="s">
        <v>100</v>
      </c>
      <c r="I5" s="263" t="s">
        <v>120</v>
      </c>
      <c r="J5" s="257" t="s">
        <v>129</v>
      </c>
      <c r="K5" s="271">
        <f t="shared" ref="K5:K20" si="0">IF(W5="NANANANA",S5,IF(AND(OR(G5="Formally Documented",G5="Informally Documented"),H5="Not Implemented"),0.5*AVERAGE(S5:V5),AVERAGE(S5:V5)))</f>
        <v>3</v>
      </c>
      <c r="L5" s="271">
        <f>IF(AND(D5="K",K5=1),'Maturity Rating'!$E$8,IF(K5="NA",K5,IF(D5="K",K5*'Maturity Rating'!$E$7,K5)))</f>
        <v>3</v>
      </c>
      <c r="M5" s="339"/>
      <c r="N5" s="339"/>
      <c r="O5" s="342"/>
      <c r="P5" s="27"/>
      <c r="Q5" s="229"/>
      <c r="S5" s="114">
        <f>VLOOKUP(G5,'Maturity Rating'!A$2:B$5,2,FALSE)</f>
        <v>3</v>
      </c>
      <c r="T5" s="114">
        <f>VLOOKUP(H5,'Maturity Rating'!A$8:B$11,2,FALSE)</f>
        <v>3</v>
      </c>
      <c r="U5" s="114">
        <f>VLOOKUP(I5,'Maturity Rating'!A$14:B$17,2,FALSE)</f>
        <v>3</v>
      </c>
      <c r="V5" s="114">
        <f>VLOOKUP(J5,'Maturity Rating'!A$20:B$23,2,FALSE)</f>
        <v>3</v>
      </c>
      <c r="W5" t="str">
        <f t="shared" ref="W5:W20" si="1">CONCATENATE(S5,T5,U5,V5)</f>
        <v>3333</v>
      </c>
    </row>
    <row r="6" spans="1:26" ht="29">
      <c r="A6" s="74">
        <v>1.3</v>
      </c>
      <c r="B6" s="345"/>
      <c r="C6" s="349"/>
      <c r="D6" s="257"/>
      <c r="E6" s="266" t="s">
        <v>144</v>
      </c>
      <c r="F6" s="79" t="s">
        <v>89</v>
      </c>
      <c r="G6" s="263" t="s">
        <v>118</v>
      </c>
      <c r="H6" s="263" t="s">
        <v>100</v>
      </c>
      <c r="I6" s="263" t="s">
        <v>120</v>
      </c>
      <c r="J6" s="257" t="s">
        <v>464</v>
      </c>
      <c r="K6" s="271">
        <f t="shared" si="0"/>
        <v>2.75</v>
      </c>
      <c r="L6" s="271">
        <f>IF(AND(D6="K",K6=1),'Maturity Rating'!$E$8,IF(K6="NA",K6,IF(D6="K",K6*'Maturity Rating'!$E$7,K6)))</f>
        <v>2.75</v>
      </c>
      <c r="M6" s="339"/>
      <c r="N6" s="339"/>
      <c r="O6" s="342"/>
      <c r="P6" s="27"/>
      <c r="Q6" s="229"/>
      <c r="S6" s="114">
        <f>VLOOKUP(G6,'Maturity Rating'!A$2:B$5,2,FALSE)</f>
        <v>3</v>
      </c>
      <c r="T6" s="114">
        <f>VLOOKUP(H6,'Maturity Rating'!A$8:B$11,2,FALSE)</f>
        <v>3</v>
      </c>
      <c r="U6" s="114">
        <f>VLOOKUP(I6,'Maturity Rating'!A$14:B$17,2,FALSE)</f>
        <v>3</v>
      </c>
      <c r="V6" s="114">
        <f>VLOOKUP(J6,'Maturity Rating'!A$20:B$23,2,FALSE)</f>
        <v>2</v>
      </c>
      <c r="W6" t="str">
        <f t="shared" si="1"/>
        <v>3332</v>
      </c>
    </row>
    <row r="7" spans="1:26" ht="29">
      <c r="A7" s="100">
        <v>1.4</v>
      </c>
      <c r="B7" s="346"/>
      <c r="C7" s="349"/>
      <c r="D7" s="258"/>
      <c r="E7" s="266" t="s">
        <v>145</v>
      </c>
      <c r="F7" s="95" t="s">
        <v>89</v>
      </c>
      <c r="G7" s="263" t="s">
        <v>118</v>
      </c>
      <c r="H7" s="263" t="s">
        <v>100</v>
      </c>
      <c r="I7" s="263" t="s">
        <v>120</v>
      </c>
      <c r="J7" s="257" t="s">
        <v>129</v>
      </c>
      <c r="K7" s="271">
        <f t="shared" si="0"/>
        <v>3</v>
      </c>
      <c r="L7" s="271">
        <f>IF(AND(D7="K",K7=1),'Maturity Rating'!$E$8,IF(K7="NA",K7,IF(D7="K",K7*'Maturity Rating'!$E$7,K7)))</f>
        <v>3</v>
      </c>
      <c r="M7" s="339"/>
      <c r="N7" s="339"/>
      <c r="O7" s="352"/>
      <c r="P7" s="27"/>
      <c r="Q7" s="229"/>
      <c r="S7" s="114">
        <f>VLOOKUP(G7,'Maturity Rating'!A$2:B$5,2,FALSE)</f>
        <v>3</v>
      </c>
      <c r="T7" s="114">
        <f>VLOOKUP(H7,'Maturity Rating'!A$8:B$11,2,FALSE)</f>
        <v>3</v>
      </c>
      <c r="U7" s="114">
        <f>VLOOKUP(I7,'Maturity Rating'!A$14:B$17,2,FALSE)</f>
        <v>3</v>
      </c>
      <c r="V7" s="114">
        <f>VLOOKUP(J7,'Maturity Rating'!A$20:B$23,2,FALSE)</f>
        <v>3</v>
      </c>
      <c r="W7" t="str">
        <f t="shared" si="1"/>
        <v>3333</v>
      </c>
    </row>
    <row r="8" spans="1:26" ht="29">
      <c r="A8" s="100">
        <v>1.5</v>
      </c>
      <c r="B8" s="346"/>
      <c r="C8" s="349"/>
      <c r="D8" s="258"/>
      <c r="E8" s="1" t="s">
        <v>146</v>
      </c>
      <c r="F8" s="95" t="s">
        <v>89</v>
      </c>
      <c r="G8" s="263" t="s">
        <v>118</v>
      </c>
      <c r="H8" s="263" t="s">
        <v>100</v>
      </c>
      <c r="I8" s="263" t="s">
        <v>120</v>
      </c>
      <c r="J8" s="257" t="s">
        <v>129</v>
      </c>
      <c r="K8" s="271">
        <f t="shared" si="0"/>
        <v>3</v>
      </c>
      <c r="L8" s="271">
        <f>IF(AND(D8="K",K8=1),'Maturity Rating'!$E$8,IF(K8="NA",K8,IF(D8="K",K8*'Maturity Rating'!$E$7,K8)))</f>
        <v>3</v>
      </c>
      <c r="M8" s="339"/>
      <c r="N8" s="339"/>
      <c r="O8" s="352"/>
      <c r="P8" s="27"/>
      <c r="Q8" s="229"/>
      <c r="S8" s="114">
        <f>VLOOKUP(G8,'Maturity Rating'!A$2:B$5,2,FALSE)</f>
        <v>3</v>
      </c>
      <c r="T8" s="114">
        <f>VLOOKUP(H8,'Maturity Rating'!A$8:B$11,2,FALSE)</f>
        <v>3</v>
      </c>
      <c r="U8" s="114">
        <f>VLOOKUP(I8,'Maturity Rating'!A$14:B$17,2,FALSE)</f>
        <v>3</v>
      </c>
      <c r="V8" s="114">
        <f>VLOOKUP(J8,'Maturity Rating'!A$20:B$23,2,FALSE)</f>
        <v>3</v>
      </c>
      <c r="W8" t="str">
        <f t="shared" si="1"/>
        <v>3333</v>
      </c>
    </row>
    <row r="9" spans="1:26" ht="15" thickBot="1">
      <c r="A9" s="75">
        <v>1.6</v>
      </c>
      <c r="B9" s="347"/>
      <c r="C9" s="350"/>
      <c r="D9" s="259"/>
      <c r="E9" s="268" t="s">
        <v>147</v>
      </c>
      <c r="F9" s="80" t="s">
        <v>89</v>
      </c>
      <c r="G9" s="263" t="s">
        <v>118</v>
      </c>
      <c r="H9" s="263" t="s">
        <v>100</v>
      </c>
      <c r="I9" s="263" t="s">
        <v>120</v>
      </c>
      <c r="J9" s="257" t="s">
        <v>129</v>
      </c>
      <c r="K9" s="272">
        <f t="shared" si="0"/>
        <v>3</v>
      </c>
      <c r="L9" s="272">
        <f>IF(AND(D9="K",K9=1),'Maturity Rating'!$E$8,IF(K9="NA",K9,IF(D9="K",K9*'Maturity Rating'!$E$7,K9)))</f>
        <v>3</v>
      </c>
      <c r="M9" s="340"/>
      <c r="N9" s="340"/>
      <c r="O9" s="343"/>
      <c r="P9" s="27"/>
      <c r="Q9" s="27"/>
      <c r="S9" s="114">
        <f>VLOOKUP(G9,'Maturity Rating'!A$2:B$5,2,FALSE)</f>
        <v>3</v>
      </c>
      <c r="T9" s="114">
        <f>VLOOKUP(H9,'Maturity Rating'!A$8:B$11,2,FALSE)</f>
        <v>3</v>
      </c>
      <c r="U9" s="114">
        <f>VLOOKUP(I9,'Maturity Rating'!A$14:B$17,2,FALSE)</f>
        <v>3</v>
      </c>
      <c r="V9" s="114">
        <f>VLOOKUP(J9,'Maturity Rating'!A$20:B$23,2,FALSE)</f>
        <v>3</v>
      </c>
      <c r="W9" t="str">
        <f t="shared" si="1"/>
        <v>3333</v>
      </c>
    </row>
    <row r="10" spans="1:26" ht="29">
      <c r="A10" s="36">
        <v>1.7</v>
      </c>
      <c r="B10" s="355" t="s">
        <v>148</v>
      </c>
      <c r="C10" s="357" t="s">
        <v>149</v>
      </c>
      <c r="D10" s="256" t="s">
        <v>87</v>
      </c>
      <c r="E10" s="51" t="s">
        <v>150</v>
      </c>
      <c r="F10" s="256" t="s">
        <v>89</v>
      </c>
      <c r="G10" s="263" t="s">
        <v>118</v>
      </c>
      <c r="H10" s="56" t="s">
        <v>100</v>
      </c>
      <c r="I10" s="256" t="s">
        <v>120</v>
      </c>
      <c r="J10" s="56" t="s">
        <v>129</v>
      </c>
      <c r="K10" s="271">
        <f t="shared" si="0"/>
        <v>3</v>
      </c>
      <c r="L10" s="271">
        <f>IF(AND(D10="K",K10=1),'Maturity Rating'!$E$8,IF(K10="NA",K10,IF(D10="K",K10*'Maturity Rating'!$E$7,K10)))</f>
        <v>3.5999999999999996</v>
      </c>
      <c r="M10" s="338">
        <f>IF(X10="NANANANANANANANA",K10,AVERAGE(L10:L16))</f>
        <v>2.2000000000000002</v>
      </c>
      <c r="N10" s="338">
        <f>IF(M10&lt;1.1,1,IF(M10="NA",M10,(MIN(5,M10/3*5))))</f>
        <v>3.666666666666667</v>
      </c>
      <c r="O10" s="341" t="str">
        <f>IF(N10="NA",N10,VLOOKUP(Q10,'Maturity Rating'!G4:H8,2,FALSE))</f>
        <v>Defined</v>
      </c>
      <c r="P10" s="27"/>
      <c r="Q10" s="229">
        <f>IF(N10="NA",N10,ROUNDDOWN(N10,0))</f>
        <v>3</v>
      </c>
      <c r="S10" s="114">
        <f>VLOOKUP(G10,'Maturity Rating'!A$2:B$5,2,FALSE)</f>
        <v>3</v>
      </c>
      <c r="T10" s="114">
        <f>VLOOKUP(H10,'Maturity Rating'!A$8:B$11,2,FALSE)</f>
        <v>3</v>
      </c>
      <c r="U10" s="114">
        <f>VLOOKUP(I10,'Maturity Rating'!A$14:B$17,2,FALSE)</f>
        <v>3</v>
      </c>
      <c r="V10" s="114">
        <f>VLOOKUP(J10,'Maturity Rating'!A$20:B$23,2,FALSE)</f>
        <v>3</v>
      </c>
      <c r="W10" t="str">
        <f t="shared" si="1"/>
        <v>3333</v>
      </c>
      <c r="X10" t="str">
        <f>CONCATENATE(L10,L11,L12,L13,L14,L15,L16)</f>
        <v>3.63310.831</v>
      </c>
    </row>
    <row r="11" spans="1:26" ht="29">
      <c r="A11" s="74">
        <v>1.8</v>
      </c>
      <c r="B11" s="356"/>
      <c r="C11" s="358"/>
      <c r="D11" s="257"/>
      <c r="E11" s="1" t="s">
        <v>151</v>
      </c>
      <c r="F11" s="55" t="s">
        <v>89</v>
      </c>
      <c r="G11" s="263" t="s">
        <v>118</v>
      </c>
      <c r="H11" s="55" t="s">
        <v>100</v>
      </c>
      <c r="I11" s="55" t="s">
        <v>120</v>
      </c>
      <c r="J11" s="55" t="s">
        <v>129</v>
      </c>
      <c r="K11" s="271">
        <f t="shared" si="0"/>
        <v>3</v>
      </c>
      <c r="L11" s="271">
        <f>IF(AND(D11="K",K11=1),'Maturity Rating'!$E$8,IF(K11="NA",K11,IF(D11="K",K11*'Maturity Rating'!$E$7,K11)))</f>
        <v>3</v>
      </c>
      <c r="M11" s="339"/>
      <c r="N11" s="339"/>
      <c r="O11" s="342"/>
      <c r="P11" s="27"/>
      <c r="Q11" s="27"/>
      <c r="S11" s="114">
        <f>VLOOKUP(G11,'Maturity Rating'!A$2:B$5,2,FALSE)</f>
        <v>3</v>
      </c>
      <c r="T11" s="114">
        <f>VLOOKUP(H11,'Maturity Rating'!A$8:B$11,2,FALSE)</f>
        <v>3</v>
      </c>
      <c r="U11" s="114">
        <f>VLOOKUP(I11,'Maturity Rating'!A$14:B$17,2,FALSE)</f>
        <v>3</v>
      </c>
      <c r="V11" s="114">
        <f>VLOOKUP(J11,'Maturity Rating'!A$20:B$23,2,FALSE)</f>
        <v>3</v>
      </c>
      <c r="W11" t="str">
        <f t="shared" si="1"/>
        <v>3333</v>
      </c>
    </row>
    <row r="12" spans="1:26" ht="43.5">
      <c r="A12" s="74">
        <v>1.9</v>
      </c>
      <c r="B12" s="356"/>
      <c r="C12" s="358"/>
      <c r="D12" s="257"/>
      <c r="E12" s="266" t="s">
        <v>152</v>
      </c>
      <c r="F12" s="257" t="s">
        <v>89</v>
      </c>
      <c r="G12" s="263" t="s">
        <v>118</v>
      </c>
      <c r="H12" s="55" t="s">
        <v>100</v>
      </c>
      <c r="I12" s="55" t="s">
        <v>120</v>
      </c>
      <c r="J12" s="257" t="s">
        <v>129</v>
      </c>
      <c r="K12" s="271">
        <f t="shared" si="0"/>
        <v>3</v>
      </c>
      <c r="L12" s="271">
        <f>IF(AND(D12="K",K12=1),'Maturity Rating'!$E$8,IF(K12="NA",K12,IF(D12="K",K12*'Maturity Rating'!$E$7,K12)))</f>
        <v>3</v>
      </c>
      <c r="M12" s="339"/>
      <c r="N12" s="339"/>
      <c r="O12" s="342"/>
      <c r="P12" s="27"/>
      <c r="Q12" s="27"/>
      <c r="S12" s="114">
        <f>VLOOKUP(G12,'Maturity Rating'!A$2:B$5,2,FALSE)</f>
        <v>3</v>
      </c>
      <c r="T12" s="114">
        <f>VLOOKUP(H12,'Maturity Rating'!A$8:B$11,2,FALSE)</f>
        <v>3</v>
      </c>
      <c r="U12" s="114">
        <f>VLOOKUP(I12,'Maturity Rating'!A$14:B$17,2,FALSE)</f>
        <v>3</v>
      </c>
      <c r="V12" s="114">
        <f>VLOOKUP(J12,'Maturity Rating'!A$20:B$23,2,FALSE)</f>
        <v>3</v>
      </c>
      <c r="W12" t="str">
        <f t="shared" si="1"/>
        <v>3333</v>
      </c>
    </row>
    <row r="13" spans="1:26" ht="29">
      <c r="A13" s="74" t="s">
        <v>153</v>
      </c>
      <c r="B13" s="356"/>
      <c r="C13" s="358"/>
      <c r="D13" s="257"/>
      <c r="E13" s="1" t="s">
        <v>154</v>
      </c>
      <c r="F13" s="55" t="s">
        <v>89</v>
      </c>
      <c r="G13" s="263" t="s">
        <v>127</v>
      </c>
      <c r="H13" s="55" t="s">
        <v>91</v>
      </c>
      <c r="I13" s="55" t="s">
        <v>91</v>
      </c>
      <c r="J13" s="257" t="s">
        <v>91</v>
      </c>
      <c r="K13" s="271">
        <f t="shared" si="0"/>
        <v>1</v>
      </c>
      <c r="L13" s="271">
        <f>IF(AND(D13="K",K13=1),'Maturity Rating'!$E$8,IF(K13="NA",K13,IF(D13="K",K13*'Maturity Rating'!$E$7,K13)))</f>
        <v>1</v>
      </c>
      <c r="M13" s="339"/>
      <c r="N13" s="339"/>
      <c r="O13" s="342"/>
      <c r="P13" s="27"/>
      <c r="Q13" s="27"/>
      <c r="S13" s="114">
        <f>VLOOKUP(G13,'Maturity Rating'!A$2:B$5,2,FALSE)</f>
        <v>1</v>
      </c>
      <c r="T13" s="114" t="str">
        <f>VLOOKUP(H13,'Maturity Rating'!A$8:B$11,2,FALSE)</f>
        <v>NA</v>
      </c>
      <c r="U13" s="114" t="str">
        <f>VLOOKUP(I13,'Maturity Rating'!A$14:B$17,2,FALSE)</f>
        <v>NA</v>
      </c>
      <c r="V13" s="114" t="str">
        <f>VLOOKUP(J13,'Maturity Rating'!A$20:B$23,2,FALSE)</f>
        <v>NA</v>
      </c>
      <c r="W13" t="str">
        <f t="shared" si="1"/>
        <v>1NANANA</v>
      </c>
    </row>
    <row r="14" spans="1:26">
      <c r="A14" s="74">
        <v>1.1100000000000001</v>
      </c>
      <c r="B14" s="356"/>
      <c r="C14" s="358"/>
      <c r="D14" s="257" t="s">
        <v>87</v>
      </c>
      <c r="E14" s="52" t="s">
        <v>155</v>
      </c>
      <c r="F14" s="257" t="s">
        <v>89</v>
      </c>
      <c r="G14" s="263" t="s">
        <v>127</v>
      </c>
      <c r="H14" s="257" t="s">
        <v>91</v>
      </c>
      <c r="I14" s="55" t="s">
        <v>91</v>
      </c>
      <c r="J14" s="257" t="s">
        <v>91</v>
      </c>
      <c r="K14" s="271">
        <f t="shared" si="0"/>
        <v>1</v>
      </c>
      <c r="L14" s="271">
        <f>IF(AND(D14="K",K14=1),'Maturity Rating'!$E$8,IF(K14="NA",K14,IF(D14="K",K14*'Maturity Rating'!$E$7,K14)))</f>
        <v>0.8</v>
      </c>
      <c r="M14" s="339"/>
      <c r="N14" s="339"/>
      <c r="O14" s="342"/>
      <c r="P14" s="27"/>
      <c r="Q14" s="27"/>
      <c r="S14" s="114">
        <f>VLOOKUP(G14,'Maturity Rating'!A$2:B$5,2,FALSE)</f>
        <v>1</v>
      </c>
      <c r="T14" s="114" t="str">
        <f>VLOOKUP(H14,'Maturity Rating'!A$8:B$11,2,FALSE)</f>
        <v>NA</v>
      </c>
      <c r="U14" s="114" t="str">
        <f>VLOOKUP(I14,'Maturity Rating'!A$14:B$17,2,FALSE)</f>
        <v>NA</v>
      </c>
      <c r="V14" s="114" t="str">
        <f>VLOOKUP(J14,'Maturity Rating'!A$20:B$23,2,FALSE)</f>
        <v>NA</v>
      </c>
      <c r="W14" t="str">
        <f t="shared" si="1"/>
        <v>1NANANA</v>
      </c>
    </row>
    <row r="15" spans="1:26" ht="43.5">
      <c r="A15" s="74">
        <v>1.1200000000000001</v>
      </c>
      <c r="B15" s="356"/>
      <c r="C15" s="358"/>
      <c r="D15" s="257"/>
      <c r="E15" s="266" t="s">
        <v>156</v>
      </c>
      <c r="F15" s="257" t="s">
        <v>89</v>
      </c>
      <c r="G15" s="263" t="s">
        <v>118</v>
      </c>
      <c r="H15" s="257" t="s">
        <v>100</v>
      </c>
      <c r="I15" s="55" t="s">
        <v>120</v>
      </c>
      <c r="J15" s="257" t="s">
        <v>129</v>
      </c>
      <c r="K15" s="271">
        <f t="shared" si="0"/>
        <v>3</v>
      </c>
      <c r="L15" s="271">
        <f>IF(AND(D15="K",K15=1),'Maturity Rating'!$E$8,IF(K15="NA",K15,IF(D15="K",K15*'Maturity Rating'!$E$7,K15)))</f>
        <v>3</v>
      </c>
      <c r="M15" s="339"/>
      <c r="N15" s="339"/>
      <c r="O15" s="342"/>
      <c r="P15" s="27"/>
      <c r="Q15" s="27"/>
      <c r="S15" s="114">
        <f>VLOOKUP(G15,'Maturity Rating'!A$2:B$5,2,FALSE)</f>
        <v>3</v>
      </c>
      <c r="T15" s="114">
        <f>VLOOKUP(H15,'Maturity Rating'!A$8:B$11,2,FALSE)</f>
        <v>3</v>
      </c>
      <c r="U15" s="114">
        <f>VLOOKUP(I15,'Maturity Rating'!A$14:B$17,2,FALSE)</f>
        <v>3</v>
      </c>
      <c r="V15" s="114">
        <f>VLOOKUP(J15,'Maturity Rating'!A$20:B$23,2,FALSE)</f>
        <v>3</v>
      </c>
      <c r="W15" t="str">
        <f t="shared" si="1"/>
        <v>3333</v>
      </c>
    </row>
    <row r="16" spans="1:26" ht="29.5" thickBot="1">
      <c r="A16" s="74">
        <v>1.1299999999999999</v>
      </c>
      <c r="B16" s="356"/>
      <c r="C16" s="358"/>
      <c r="D16" s="257"/>
      <c r="E16" s="268" t="s">
        <v>157</v>
      </c>
      <c r="F16" s="259" t="s">
        <v>89</v>
      </c>
      <c r="G16" s="263" t="s">
        <v>127</v>
      </c>
      <c r="H16" s="259" t="s">
        <v>91</v>
      </c>
      <c r="I16" s="55" t="s">
        <v>91</v>
      </c>
      <c r="J16" s="259" t="s">
        <v>91</v>
      </c>
      <c r="K16" s="272">
        <f t="shared" si="0"/>
        <v>1</v>
      </c>
      <c r="L16" s="272">
        <f>IF(AND(D16="K",K16=1),'Maturity Rating'!$E$8,IF(K16="NA",K16,IF(D16="K",K16*'Maturity Rating'!$E$7,K16)))</f>
        <v>1</v>
      </c>
      <c r="M16" s="339"/>
      <c r="N16" s="339"/>
      <c r="O16" s="342"/>
      <c r="P16" s="27"/>
      <c r="Q16" s="27"/>
      <c r="S16" s="114">
        <f>VLOOKUP(G16,'Maturity Rating'!A$2:B$5,2,FALSE)</f>
        <v>1</v>
      </c>
      <c r="T16" s="114" t="str">
        <f>VLOOKUP(H16,'Maturity Rating'!A$8:B$11,2,FALSE)</f>
        <v>NA</v>
      </c>
      <c r="U16" s="114" t="str">
        <f>VLOOKUP(I16,'Maturity Rating'!A$14:B$17,2,FALSE)</f>
        <v>NA</v>
      </c>
      <c r="V16" s="114" t="str">
        <f>VLOOKUP(J16,'Maturity Rating'!A$20:B$23,2,FALSE)</f>
        <v>NA</v>
      </c>
      <c r="W16" t="str">
        <f t="shared" si="1"/>
        <v>1NANANA</v>
      </c>
    </row>
    <row r="17" spans="1:24" ht="29.5" thickBot="1">
      <c r="A17" s="36">
        <v>1.1399999999999999</v>
      </c>
      <c r="B17" s="332" t="s">
        <v>158</v>
      </c>
      <c r="C17" s="335" t="s">
        <v>159</v>
      </c>
      <c r="D17" s="256"/>
      <c r="E17" s="277" t="s">
        <v>160</v>
      </c>
      <c r="F17" s="256" t="s">
        <v>89</v>
      </c>
      <c r="G17" s="263" t="s">
        <v>127</v>
      </c>
      <c r="H17" s="56" t="s">
        <v>91</v>
      </c>
      <c r="I17" s="55" t="s">
        <v>91</v>
      </c>
      <c r="J17" s="259" t="s">
        <v>91</v>
      </c>
      <c r="K17" s="271">
        <f t="shared" si="0"/>
        <v>1</v>
      </c>
      <c r="L17" s="271">
        <f>IF(AND(D17="K",K17=1),'Maturity Rating'!$E$8,IF(K17="NA",K17,IF(D17="K",K17*'Maturity Rating'!$E$7,K17)))</f>
        <v>1</v>
      </c>
      <c r="M17" s="338">
        <f>IF(X17="NANANANANANANANANANA",K17,AVERAGE(L17:L20))</f>
        <v>1</v>
      </c>
      <c r="N17" s="338">
        <f>IF(M17&lt;1.1,1,IF(M17="NA",M17,(MIN(5,M17/3*5))))</f>
        <v>1</v>
      </c>
      <c r="O17" s="341" t="str">
        <f>IF(N17="NA",N17,VLOOKUP(Q17,'Maturity Rating'!G4:H8,2,FALSE))</f>
        <v>Initial</v>
      </c>
      <c r="P17" s="27"/>
      <c r="Q17" s="229">
        <f>IF(N17="NA",N17,ROUNDDOWN(N17,0))</f>
        <v>1</v>
      </c>
      <c r="S17" s="114">
        <f>VLOOKUP(G17,'Maturity Rating'!A$2:B$5,2,FALSE)</f>
        <v>1</v>
      </c>
      <c r="T17" s="114" t="str">
        <f>VLOOKUP(H17,'Maturity Rating'!A$8:B$11,2,FALSE)</f>
        <v>NA</v>
      </c>
      <c r="U17" s="114" t="str">
        <f>VLOOKUP(I17,'Maturity Rating'!A$14:B$17,2,FALSE)</f>
        <v>NA</v>
      </c>
      <c r="V17" s="114" t="str">
        <f>VLOOKUP(J17,'Maturity Rating'!A$20:B$23,2,FALSE)</f>
        <v>NA</v>
      </c>
      <c r="W17" t="str">
        <f t="shared" si="1"/>
        <v>1NANANA</v>
      </c>
      <c r="X17" t="str">
        <f>CONCATENATE(L17,L18,L19,L20)</f>
        <v>1111</v>
      </c>
    </row>
    <row r="18" spans="1:24" ht="29.5" thickBot="1">
      <c r="A18" s="74">
        <v>1.1499999999999999</v>
      </c>
      <c r="B18" s="333"/>
      <c r="C18" s="336"/>
      <c r="D18" s="257"/>
      <c r="E18" s="1" t="s">
        <v>161</v>
      </c>
      <c r="F18" s="257" t="s">
        <v>89</v>
      </c>
      <c r="G18" s="263" t="s">
        <v>127</v>
      </c>
      <c r="H18" s="55" t="s">
        <v>91</v>
      </c>
      <c r="I18" s="55" t="s">
        <v>91</v>
      </c>
      <c r="J18" s="259" t="s">
        <v>91</v>
      </c>
      <c r="K18" s="271">
        <f t="shared" si="0"/>
        <v>1</v>
      </c>
      <c r="L18" s="271">
        <f>IF(AND(D18="K",K18=1),'Maturity Rating'!$E$8,IF(K18="NA",K18,IF(D18="K",K18*'Maturity Rating'!$E$7,K18)))</f>
        <v>1</v>
      </c>
      <c r="M18" s="339"/>
      <c r="N18" s="339"/>
      <c r="O18" s="342"/>
      <c r="P18" s="27"/>
      <c r="Q18" s="27"/>
      <c r="S18" s="114">
        <f>VLOOKUP(G18,'Maturity Rating'!A$2:B$5,2,FALSE)</f>
        <v>1</v>
      </c>
      <c r="T18" s="114" t="str">
        <f>VLOOKUP(H18,'Maturity Rating'!A$8:B$11,2,FALSE)</f>
        <v>NA</v>
      </c>
      <c r="U18" s="114" t="str">
        <f>VLOOKUP(I18,'Maturity Rating'!A$14:B$17,2,FALSE)</f>
        <v>NA</v>
      </c>
      <c r="V18" s="114" t="str">
        <f>VLOOKUP(J18,'Maturity Rating'!A$20:B$23,2,FALSE)</f>
        <v>NA</v>
      </c>
      <c r="W18" t="str">
        <f t="shared" si="1"/>
        <v>1NANANA</v>
      </c>
    </row>
    <row r="19" spans="1:24" ht="21.5" customHeight="1">
      <c r="A19" s="74">
        <v>1.1599999999999999</v>
      </c>
      <c r="B19" s="333"/>
      <c r="C19" s="336"/>
      <c r="D19" s="257"/>
      <c r="E19" s="266" t="s">
        <v>162</v>
      </c>
      <c r="F19" s="257" t="s">
        <v>89</v>
      </c>
      <c r="G19" s="263" t="s">
        <v>127</v>
      </c>
      <c r="H19" s="257" t="s">
        <v>95</v>
      </c>
      <c r="I19" s="55" t="s">
        <v>206</v>
      </c>
      <c r="J19" s="257" t="s">
        <v>102</v>
      </c>
      <c r="K19" s="271">
        <f t="shared" si="0"/>
        <v>1</v>
      </c>
      <c r="L19" s="271">
        <f>IF(AND(D19="K",K19=1),'Maturity Rating'!$E$8,IF(K19="NA",K19,IF(D19="K",K19*'Maturity Rating'!$E$7,K19)))</f>
        <v>1</v>
      </c>
      <c r="M19" s="339"/>
      <c r="N19" s="339"/>
      <c r="O19" s="342"/>
      <c r="P19" s="27"/>
      <c r="Q19" s="27"/>
      <c r="S19" s="114">
        <f>VLOOKUP(G19,'Maturity Rating'!A$2:B$5,2,FALSE)</f>
        <v>1</v>
      </c>
      <c r="T19" s="114">
        <f>VLOOKUP(H19,'Maturity Rating'!A$8:B$11,2,FALSE)</f>
        <v>1</v>
      </c>
      <c r="U19" s="114">
        <f>VLOOKUP(I19,'Maturity Rating'!A$14:B$17,2,FALSE)</f>
        <v>1</v>
      </c>
      <c r="V19" s="114">
        <f>VLOOKUP(J19,'Maturity Rating'!A$20:B$23,2,FALSE)</f>
        <v>1</v>
      </c>
      <c r="W19" t="str">
        <f t="shared" si="1"/>
        <v>1111</v>
      </c>
    </row>
    <row r="20" spans="1:24" ht="29.5" thickBot="1">
      <c r="A20" s="75">
        <v>1.17</v>
      </c>
      <c r="B20" s="334"/>
      <c r="C20" s="337"/>
      <c r="D20" s="259"/>
      <c r="E20" s="268" t="s">
        <v>163</v>
      </c>
      <c r="F20" s="259" t="s">
        <v>89</v>
      </c>
      <c r="G20" s="263" t="s">
        <v>127</v>
      </c>
      <c r="H20" s="59" t="s">
        <v>95</v>
      </c>
      <c r="I20" s="55" t="s">
        <v>206</v>
      </c>
      <c r="J20" s="259" t="s">
        <v>102</v>
      </c>
      <c r="K20" s="272">
        <f t="shared" si="0"/>
        <v>1</v>
      </c>
      <c r="L20" s="262">
        <f>IF(AND(D20="K",K20=1),'Maturity Rating'!$E$8,IF(K20="NA",K20,IF(D20="K",K20*'Maturity Rating'!$E$7,K20)))</f>
        <v>1</v>
      </c>
      <c r="M20" s="340"/>
      <c r="N20" s="340"/>
      <c r="O20" s="343"/>
      <c r="P20" s="27"/>
      <c r="Q20" s="27"/>
      <c r="S20" s="114">
        <f>VLOOKUP(G20,'Maturity Rating'!A$2:B$5,2,FALSE)</f>
        <v>1</v>
      </c>
      <c r="T20" s="114">
        <f>VLOOKUP(H20,'Maturity Rating'!A$8:B$11,2,FALSE)</f>
        <v>1</v>
      </c>
      <c r="U20" s="114">
        <f>VLOOKUP(I20,'Maturity Rating'!A$14:B$17,2,FALSE)</f>
        <v>1</v>
      </c>
      <c r="V20" s="114">
        <f>VLOOKUP(J20,'Maturity Rating'!A$20:B$23,2,FALSE)</f>
        <v>1</v>
      </c>
      <c r="W20" t="str">
        <f t="shared" si="1"/>
        <v>1111</v>
      </c>
    </row>
    <row r="21" spans="1:24">
      <c r="C21" s="23"/>
      <c r="D21" s="23"/>
    </row>
  </sheetData>
  <mergeCells count="16">
    <mergeCell ref="C1:D1"/>
    <mergeCell ref="B10:B16"/>
    <mergeCell ref="C10:C16"/>
    <mergeCell ref="M10:M16"/>
    <mergeCell ref="N10:N16"/>
    <mergeCell ref="O10:O16"/>
    <mergeCell ref="B4:B9"/>
    <mergeCell ref="C4:C9"/>
    <mergeCell ref="M4:M9"/>
    <mergeCell ref="N4:N9"/>
    <mergeCell ref="O4:O9"/>
    <mergeCell ref="B17:B20"/>
    <mergeCell ref="C17:C20"/>
    <mergeCell ref="M17:M20"/>
    <mergeCell ref="N17:N20"/>
    <mergeCell ref="O17:O20"/>
  </mergeCells>
  <pageMargins left="0.7" right="0.7" top="0.75" bottom="0.75" header="0.3" footer="0.3"/>
  <pageSetup paperSize="9" orientation="portrait" r:id="rId1"/>
  <ignoredErrors>
    <ignoredError sqref="E1:F1 K5:O20 K4:L4 N4:O4" evalError="1"/>
  </ignoredErrors>
  <legacyDrawing r:id="rId2"/>
  <extLst>
    <ext xmlns:x14="http://schemas.microsoft.com/office/spreadsheetml/2009/9/main" uri="{CCE6A557-97BC-4b89-ADB6-D9C93CAAB3DF}">
      <x14:dataValidations xmlns:xm="http://schemas.microsoft.com/office/excel/2006/main" count="5">
        <x14:dataValidation type="list" allowBlank="1" showInputMessage="1" showErrorMessage="1" xr:uid="{00000000-0002-0000-0400-000000000000}">
          <x14:formula1>
            <xm:f>'Maturity Rating'!$F$1:$F$3</xm:f>
          </x14:formula1>
          <xm:sqref>F10:F20</xm:sqref>
        </x14:dataValidation>
        <x14:dataValidation type="list" allowBlank="1" showInputMessage="1" showErrorMessage="1" xr:uid="{00000000-0002-0000-0400-000001000000}">
          <x14:formula1>
            <xm:f>'Maturity Rating'!$A$8:$A$11</xm:f>
          </x14:formula1>
          <xm:sqref>H4:H20</xm:sqref>
        </x14:dataValidation>
        <x14:dataValidation type="list" allowBlank="1" showInputMessage="1" showErrorMessage="1" xr:uid="{00000000-0002-0000-0400-000002000000}">
          <x14:formula1>
            <xm:f>'Maturity Rating'!$A$20:$A$23</xm:f>
          </x14:formula1>
          <xm:sqref>J4:J20</xm:sqref>
        </x14:dataValidation>
        <x14:dataValidation type="list" allowBlank="1" showInputMessage="1" showErrorMessage="1" xr:uid="{00000000-0002-0000-0400-000003000000}">
          <x14:formula1>
            <xm:f>'Maturity Rating'!$A$14:$A$17</xm:f>
          </x14:formula1>
          <xm:sqref>I4:I20</xm:sqref>
        </x14:dataValidation>
        <x14:dataValidation type="list" allowBlank="1" showInputMessage="1" showErrorMessage="1" xr:uid="{00000000-0002-0000-0400-000004000000}">
          <x14:formula1>
            <xm:f>'Maturity Rating'!$A$2:$A$5</xm:f>
          </x14:formula1>
          <xm:sqref>G4:G20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tabColor theme="2"/>
  </sheetPr>
  <dimension ref="A1:Y35"/>
  <sheetViews>
    <sheetView showGridLines="0" topLeftCell="E1" zoomScale="71" zoomScaleNormal="80" workbookViewId="0">
      <selection activeCell="G18" sqref="G18"/>
    </sheetView>
  </sheetViews>
  <sheetFormatPr defaultColWidth="9.08984375" defaultRowHeight="14.5"/>
  <cols>
    <col min="1" max="1" width="6.453125" style="22" bestFit="1" customWidth="1"/>
    <col min="2" max="2" width="23.08984375" style="24" customWidth="1"/>
    <col min="3" max="3" width="34.90625" style="25" customWidth="1"/>
    <col min="4" max="4" width="25" style="25" customWidth="1"/>
    <col min="5" max="5" width="79.1796875" style="24" customWidth="1"/>
    <col min="6" max="6" width="31.36328125" style="62" customWidth="1"/>
    <col min="7" max="8" width="20.6328125" style="62" customWidth="1"/>
    <col min="9" max="9" width="20.90625" style="62" bestFit="1" customWidth="1"/>
    <col min="10" max="10" width="20.6328125" style="62" customWidth="1"/>
    <col min="11" max="11" width="13.6328125" style="24" bestFit="1" customWidth="1"/>
    <col min="12" max="12" width="26.36328125" style="24" customWidth="1"/>
    <col min="13" max="13" width="18.81640625" style="24" customWidth="1"/>
    <col min="14" max="14" width="20.90625" style="24" customWidth="1"/>
    <col min="15" max="15" width="13.6328125" style="24" customWidth="1"/>
    <col min="16" max="16" width="18.08984375" customWidth="1"/>
    <col min="17" max="17" width="7.453125" hidden="1" customWidth="1"/>
    <col min="18" max="18" width="18.81640625" hidden="1" customWidth="1"/>
    <col min="19" max="19" width="11" style="189" hidden="1" customWidth="1"/>
    <col min="20" max="20" width="13.90625" style="189" hidden="1" customWidth="1"/>
    <col min="21" max="21" width="15.36328125" style="189" hidden="1" customWidth="1"/>
    <col min="22" max="22" width="14.1796875" style="189" hidden="1" customWidth="1"/>
    <col min="23" max="23" width="26" hidden="1" customWidth="1"/>
    <col min="24" max="24" width="33.08984375" hidden="1" customWidth="1"/>
    <col min="26" max="16384" width="9.08984375" style="24"/>
  </cols>
  <sheetData>
    <row r="1" spans="1:25" ht="19" thickBot="1">
      <c r="C1" s="353" t="s">
        <v>66</v>
      </c>
      <c r="D1" s="354"/>
      <c r="E1" s="45" t="str">
        <f>IF(F1="NA","Not Applicable",VLOOKUP(T1,'Maturity Rating'!G4:H8,2,FALSE))</f>
        <v>Partial</v>
      </c>
      <c r="F1" s="46">
        <f>IF(U1="NANANANA","NA",AVERAGE(N4:N35))</f>
        <v>2.6837962962962965</v>
      </c>
      <c r="G1" s="22"/>
      <c r="I1" s="86"/>
      <c r="J1" s="83"/>
      <c r="K1" s="84"/>
      <c r="Q1" s="224"/>
      <c r="S1"/>
      <c r="T1" s="230">
        <f>ROUNDDOWN(F1,0)</f>
        <v>2</v>
      </c>
      <c r="U1" t="str">
        <f>CONCATENATE(N4,N9,N18,N27)</f>
        <v>3.355555555555563.259259259259263.120370370370371</v>
      </c>
      <c r="V1"/>
    </row>
    <row r="2" spans="1:25" ht="15" thickBot="1"/>
    <row r="3" spans="1:25" s="22" customFormat="1" ht="29.5" thickBot="1">
      <c r="A3" s="88" t="s">
        <v>2</v>
      </c>
      <c r="B3" s="81" t="s">
        <v>67</v>
      </c>
      <c r="C3" s="81" t="s">
        <v>68</v>
      </c>
      <c r="D3" s="81" t="s">
        <v>69</v>
      </c>
      <c r="E3" s="81" t="s">
        <v>70</v>
      </c>
      <c r="F3" s="81" t="s">
        <v>71</v>
      </c>
      <c r="G3" s="81" t="s">
        <v>72</v>
      </c>
      <c r="H3" s="81" t="s">
        <v>73</v>
      </c>
      <c r="I3" s="81" t="s">
        <v>74</v>
      </c>
      <c r="J3" s="81" t="s">
        <v>75</v>
      </c>
      <c r="K3" s="81" t="s">
        <v>76</v>
      </c>
      <c r="L3" s="81" t="s">
        <v>77</v>
      </c>
      <c r="M3" s="81" t="s">
        <v>78</v>
      </c>
      <c r="N3" s="81" t="s">
        <v>79</v>
      </c>
      <c r="O3" s="89" t="s">
        <v>80</v>
      </c>
      <c r="P3"/>
      <c r="Q3"/>
      <c r="R3"/>
      <c r="S3" s="227" t="s">
        <v>81</v>
      </c>
      <c r="T3" s="227" t="s">
        <v>82</v>
      </c>
      <c r="U3" s="227" t="s">
        <v>83</v>
      </c>
      <c r="V3" s="227" t="s">
        <v>84</v>
      </c>
      <c r="W3" s="228"/>
      <c r="X3" s="228"/>
      <c r="Y3" s="228"/>
    </row>
    <row r="4" spans="1:25" ht="38" customHeight="1">
      <c r="A4" s="93">
        <v>2.1</v>
      </c>
      <c r="B4" s="344" t="s">
        <v>85</v>
      </c>
      <c r="C4" s="357" t="s">
        <v>86</v>
      </c>
      <c r="D4" s="263" t="s">
        <v>87</v>
      </c>
      <c r="E4" s="147" t="s">
        <v>88</v>
      </c>
      <c r="F4" s="87" t="s">
        <v>89</v>
      </c>
      <c r="G4" s="263" t="s">
        <v>90</v>
      </c>
      <c r="H4" s="263" t="s">
        <v>125</v>
      </c>
      <c r="I4" s="263" t="s">
        <v>101</v>
      </c>
      <c r="J4" s="257" t="s">
        <v>464</v>
      </c>
      <c r="K4" s="271">
        <f>IF(W4="NANANANA",S4,IF(AND(OR(G4="Formally Documented",G4="Informally Documented"),H4="Not Implemented"),0.5*AVERAGE(S4:V4),AVERAGE(S4:V4)))</f>
        <v>2</v>
      </c>
      <c r="L4" s="271">
        <f>IF(AND(D4="K",K4=1),'Maturity Rating'!$E$8,IF(K4="NA",K4,IF(D4="K",K4*'Maturity Rating'!$E$7,K4)))</f>
        <v>2.4</v>
      </c>
      <c r="M4" s="338">
        <f>IF(X4="NANANANA",K4,AVERAGE(L4:L8))</f>
        <v>2.0133333333333332</v>
      </c>
      <c r="N4" s="339">
        <f>IF(M4&lt;1.1,1,IF(M4="NA",M4,(MIN(5,M4/3*5))))</f>
        <v>3.3555555555555556</v>
      </c>
      <c r="O4" s="351" t="str">
        <f>IF(N4="NA",N4,VLOOKUP(Q4,'Maturity Rating'!G4:H8,2,FALSE))</f>
        <v>Defined</v>
      </c>
      <c r="P4" s="27"/>
      <c r="Q4" s="229">
        <f>IF(N4="NA",N4,ROUNDDOWN(N4,0))</f>
        <v>3</v>
      </c>
      <c r="S4" s="114">
        <f>VLOOKUP(G4,'Maturity Rating'!A$2:B$5,2,FALSE)</f>
        <v>2</v>
      </c>
      <c r="T4" s="114">
        <f>VLOOKUP(H4,'Maturity Rating'!A$8:B$11,2,FALSE)</f>
        <v>2</v>
      </c>
      <c r="U4" s="114">
        <f>VLOOKUP(I4,'Maturity Rating'!A$14:B$17,2,FALSE)</f>
        <v>2</v>
      </c>
      <c r="V4" s="114">
        <f>VLOOKUP(J4,'Maturity Rating'!A$20:B$23,2,FALSE)</f>
        <v>2</v>
      </c>
      <c r="W4" t="str">
        <f>CONCATENATE(S4,T4,U4,V4)</f>
        <v>2222</v>
      </c>
      <c r="X4" t="str">
        <f>CONCATENATE(L4,L5,L6,L8)</f>
        <v>2.421.666666666666671</v>
      </c>
    </row>
    <row r="5" spans="1:25" ht="43.5" customHeight="1">
      <c r="A5" s="74">
        <v>2.2000000000000002</v>
      </c>
      <c r="B5" s="345"/>
      <c r="C5" s="358"/>
      <c r="D5" s="257"/>
      <c r="E5" s="266" t="s">
        <v>92</v>
      </c>
      <c r="F5" s="79" t="s">
        <v>89</v>
      </c>
      <c r="G5" s="257" t="s">
        <v>90</v>
      </c>
      <c r="H5" s="257" t="s">
        <v>125</v>
      </c>
      <c r="I5" s="257" t="s">
        <v>101</v>
      </c>
      <c r="J5" s="257" t="s">
        <v>464</v>
      </c>
      <c r="K5" s="271">
        <f t="shared" ref="K5:K35" si="0">IF(W5="NANANANA",S5,IF(AND(OR(G5="Formally Documented",G5="Informally Documented"),H5="Not Implemented"),0.5*AVERAGE(S5:V5),AVERAGE(S5:V5)))</f>
        <v>2</v>
      </c>
      <c r="L5" s="271">
        <f>IF(AND(D5="K",K5=1),'Maturity Rating'!$E$8,IF(K5="NA",K5,IF(D5="K",K5*'Maturity Rating'!$E$7,K5)))</f>
        <v>2</v>
      </c>
      <c r="M5" s="339"/>
      <c r="N5" s="339"/>
      <c r="O5" s="342"/>
      <c r="P5" s="27"/>
      <c r="Q5" s="229"/>
      <c r="S5" s="114">
        <f>VLOOKUP(G5,'Maturity Rating'!A$2:B$5,2,FALSE)</f>
        <v>2</v>
      </c>
      <c r="T5" s="114">
        <f>VLOOKUP(H5,'Maturity Rating'!A$8:B$11,2,FALSE)</f>
        <v>2</v>
      </c>
      <c r="U5" s="114">
        <f>VLOOKUP(I5,'Maturity Rating'!A$14:B$17,2,FALSE)</f>
        <v>2</v>
      </c>
      <c r="V5" s="114">
        <f>VLOOKUP(J5,'Maturity Rating'!A$20:B$23,2,FALSE)</f>
        <v>2</v>
      </c>
      <c r="W5" t="str">
        <f t="shared" ref="W5:W35" si="1">CONCATENATE(S5,T5,U5,V5)</f>
        <v>2222</v>
      </c>
    </row>
    <row r="6" spans="1:25" ht="35" customHeight="1">
      <c r="A6" s="74">
        <v>2.2999999999999998</v>
      </c>
      <c r="B6" s="345"/>
      <c r="C6" s="358"/>
      <c r="D6" s="257"/>
      <c r="E6" s="1" t="s">
        <v>93</v>
      </c>
      <c r="F6" s="79" t="s">
        <v>89</v>
      </c>
      <c r="G6" s="257" t="s">
        <v>90</v>
      </c>
      <c r="H6" s="55" t="s">
        <v>125</v>
      </c>
      <c r="I6" s="257" t="s">
        <v>206</v>
      </c>
      <c r="J6" s="257" t="s">
        <v>91</v>
      </c>
      <c r="K6" s="271">
        <f t="shared" si="0"/>
        <v>1.6666666666666667</v>
      </c>
      <c r="L6" s="271">
        <f>IF(AND(D6="K",K6=1),'Maturity Rating'!$E$8,IF(K6="NA",K6,IF(D6="K",K6*'Maturity Rating'!$E$7,K6)))</f>
        <v>1.6666666666666667</v>
      </c>
      <c r="M6" s="339"/>
      <c r="N6" s="339"/>
      <c r="O6" s="342"/>
      <c r="P6" s="27"/>
      <c r="Q6" s="229"/>
      <c r="S6" s="114">
        <f>VLOOKUP(G6,'Maturity Rating'!A$2:B$5,2,FALSE)</f>
        <v>2</v>
      </c>
      <c r="T6" s="114">
        <f>VLOOKUP(H6,'Maturity Rating'!A$8:B$11,2,FALSE)</f>
        <v>2</v>
      </c>
      <c r="U6" s="114">
        <f>VLOOKUP(I6,'Maturity Rating'!A$14:B$17,2,FALSE)</f>
        <v>1</v>
      </c>
      <c r="V6" s="114" t="str">
        <f>VLOOKUP(J6,'Maturity Rating'!A$20:B$23,2,FALSE)</f>
        <v>NA</v>
      </c>
      <c r="W6" t="str">
        <f t="shared" si="1"/>
        <v>221NA</v>
      </c>
    </row>
    <row r="7" spans="1:25" ht="20" customHeight="1">
      <c r="A7" s="100">
        <v>2.4</v>
      </c>
      <c r="B7" s="346"/>
      <c r="C7" s="358"/>
      <c r="D7" s="258"/>
      <c r="E7" s="266" t="s">
        <v>94</v>
      </c>
      <c r="F7" s="257" t="s">
        <v>89</v>
      </c>
      <c r="G7" s="257" t="s">
        <v>118</v>
      </c>
      <c r="H7" s="55" t="s">
        <v>100</v>
      </c>
      <c r="I7" s="257" t="s">
        <v>120</v>
      </c>
      <c r="J7" s="257" t="s">
        <v>129</v>
      </c>
      <c r="K7" s="271">
        <f t="shared" ref="K7" si="2">IF(W7="NANANANA",S7,IF(AND(OR(G7="Formally Documented",G7="Informally Documented"),H7="Not Implemented"),0.5*AVERAGE(S7:V7),AVERAGE(S7:V7)))</f>
        <v>3</v>
      </c>
      <c r="L7" s="271">
        <f>IF(AND(D7="K",K7=1),'Maturity Rating'!$E$8,IF(K7="NA",K7,IF(D7="K",K7*'Maturity Rating'!$E$7,K7)))</f>
        <v>3</v>
      </c>
      <c r="M7" s="339"/>
      <c r="N7" s="339"/>
      <c r="O7" s="352"/>
      <c r="P7" s="27"/>
      <c r="Q7" s="229"/>
      <c r="S7" s="114">
        <f>VLOOKUP(G7,'Maturity Rating'!A$2:B$5,2,FALSE)</f>
        <v>3</v>
      </c>
      <c r="T7" s="114">
        <f>VLOOKUP(H7,'Maturity Rating'!A$8:B$11,2,FALSE)</f>
        <v>3</v>
      </c>
      <c r="U7" s="114">
        <f>VLOOKUP(I7,'Maturity Rating'!A$14:B$17,2,FALSE)</f>
        <v>3</v>
      </c>
      <c r="V7" s="114">
        <f>VLOOKUP(J7,'Maturity Rating'!A$20:B$23,2,FALSE)</f>
        <v>3</v>
      </c>
      <c r="W7" t="str">
        <f t="shared" si="1"/>
        <v>3333</v>
      </c>
    </row>
    <row r="8" spans="1:25" ht="27.5" customHeight="1" thickBot="1">
      <c r="A8" s="75">
        <v>2.5</v>
      </c>
      <c r="B8" s="347"/>
      <c r="C8" s="360"/>
      <c r="D8" s="259"/>
      <c r="E8" s="302" t="s">
        <v>96</v>
      </c>
      <c r="F8" s="161" t="s">
        <v>89</v>
      </c>
      <c r="G8" s="265" t="s">
        <v>127</v>
      </c>
      <c r="H8" s="96" t="s">
        <v>95</v>
      </c>
      <c r="I8" s="265" t="s">
        <v>91</v>
      </c>
      <c r="J8" s="265" t="s">
        <v>91</v>
      </c>
      <c r="K8" s="272">
        <f t="shared" si="0"/>
        <v>1</v>
      </c>
      <c r="L8" s="272">
        <f>IF(AND(D8="K",K8=1),'Maturity Rating'!$E$8,IF(K8="NA",K8,IF(D8="K",K8*'Maturity Rating'!$E$7,K8)))</f>
        <v>1</v>
      </c>
      <c r="M8" s="340"/>
      <c r="N8" s="340"/>
      <c r="O8" s="343"/>
      <c r="P8" s="27"/>
      <c r="Q8" s="27"/>
      <c r="S8" s="114">
        <f>VLOOKUP(G8,'Maturity Rating'!A$2:B$5,2,FALSE)</f>
        <v>1</v>
      </c>
      <c r="T8" s="114">
        <f>VLOOKUP(H8,'Maturity Rating'!A$8:B$11,2,FALSE)</f>
        <v>1</v>
      </c>
      <c r="U8" s="114" t="str">
        <f>VLOOKUP(I8,'Maturity Rating'!A$14:B$17,2,FALSE)</f>
        <v>NA</v>
      </c>
      <c r="V8" s="114" t="str">
        <f>VLOOKUP(J8,'Maturity Rating'!A$20:B$23,2,FALSE)</f>
        <v>NA</v>
      </c>
      <c r="W8" t="str">
        <f t="shared" si="1"/>
        <v>11NANA</v>
      </c>
    </row>
    <row r="9" spans="1:25" ht="29">
      <c r="A9" s="36">
        <v>2.6</v>
      </c>
      <c r="B9" s="359" t="s">
        <v>97</v>
      </c>
      <c r="C9" s="357" t="s">
        <v>98</v>
      </c>
      <c r="D9" s="256"/>
      <c r="E9" s="277" t="s">
        <v>99</v>
      </c>
      <c r="F9" s="256" t="s">
        <v>89</v>
      </c>
      <c r="G9" s="263" t="s">
        <v>118</v>
      </c>
      <c r="H9" s="99" t="s">
        <v>100</v>
      </c>
      <c r="I9" s="99" t="s">
        <v>120</v>
      </c>
      <c r="J9" s="136" t="s">
        <v>129</v>
      </c>
      <c r="K9" s="271">
        <f t="shared" si="0"/>
        <v>3</v>
      </c>
      <c r="L9" s="271">
        <f>IF(AND(D9="K",K9=1),'Maturity Rating'!$E$8,IF(K9="NA",K9,IF(D9="K",K9*'Maturity Rating'!$E$7,K9)))</f>
        <v>3</v>
      </c>
      <c r="M9" s="338">
        <f>IF(X9="NANANANANANANANA",K9,AVERAGE(L9:L17))</f>
        <v>1.9555555555555557</v>
      </c>
      <c r="N9" s="338">
        <f>IF(M9&lt;1.1,1,IF(M9="NA",M9,(MIN(5,M9/3*5))))</f>
        <v>3.2592592592592595</v>
      </c>
      <c r="O9" s="341" t="str">
        <f>IF(N9="NA",N9,VLOOKUP(Q9,'Maturity Rating'!G4:H8,2,FALSE))</f>
        <v>Defined</v>
      </c>
      <c r="P9" s="27"/>
      <c r="Q9" s="229">
        <f>IF(N9="NA",N9,ROUNDDOWN(N9,0))</f>
        <v>3</v>
      </c>
      <c r="S9" s="114">
        <f>VLOOKUP(G9,'Maturity Rating'!A$2:B$5,2,FALSE)</f>
        <v>3</v>
      </c>
      <c r="T9" s="114">
        <f>VLOOKUP(H9,'Maturity Rating'!A$8:B$11,2,FALSE)</f>
        <v>3</v>
      </c>
      <c r="U9" s="114">
        <f>VLOOKUP(I9,'Maturity Rating'!A$14:B$17,2,FALSE)</f>
        <v>3</v>
      </c>
      <c r="V9" s="114">
        <f>VLOOKUP(J9,'Maturity Rating'!A$20:B$23,2,FALSE)</f>
        <v>3</v>
      </c>
      <c r="W9" t="str">
        <f t="shared" si="1"/>
        <v>3333</v>
      </c>
      <c r="X9" t="str">
        <f>CONCATENATE(L9,L10,L11,L12,L13,L14,L15,L16,L17)</f>
        <v>311.533.612.511</v>
      </c>
    </row>
    <row r="10" spans="1:25" ht="29">
      <c r="A10" s="74">
        <v>2.7</v>
      </c>
      <c r="B10" s="345"/>
      <c r="C10" s="358"/>
      <c r="D10" s="257"/>
      <c r="E10" s="1" t="s">
        <v>103</v>
      </c>
      <c r="F10" s="257" t="s">
        <v>89</v>
      </c>
      <c r="G10" s="263" t="s">
        <v>127</v>
      </c>
      <c r="H10" s="99" t="s">
        <v>95</v>
      </c>
      <c r="I10" s="160" t="s">
        <v>206</v>
      </c>
      <c r="J10" s="87" t="s">
        <v>102</v>
      </c>
      <c r="K10" s="271">
        <f t="shared" si="0"/>
        <v>1</v>
      </c>
      <c r="L10" s="271">
        <f>IF(AND(D10="K",K10=1),'Maturity Rating'!$E$8,IF(K10="NA",K10,IF(D10="K",K10*'Maturity Rating'!$E$7,K10)))</f>
        <v>1</v>
      </c>
      <c r="M10" s="339"/>
      <c r="N10" s="339"/>
      <c r="O10" s="342"/>
      <c r="P10" s="27"/>
      <c r="Q10" s="27"/>
      <c r="S10" s="114">
        <f>VLOOKUP(G10,'Maturity Rating'!A$2:B$5,2,FALSE)</f>
        <v>1</v>
      </c>
      <c r="T10" s="114">
        <f>VLOOKUP(H10,'Maturity Rating'!A$8:B$11,2,FALSE)</f>
        <v>1</v>
      </c>
      <c r="U10" s="114">
        <f>VLOOKUP(I10,'Maturity Rating'!A$14:B$17,2,FALSE)</f>
        <v>1</v>
      </c>
      <c r="V10" s="114">
        <f>VLOOKUP(J10,'Maturity Rating'!A$20:B$23,2,FALSE)</f>
        <v>1</v>
      </c>
      <c r="W10" t="str">
        <f t="shared" si="1"/>
        <v>1111</v>
      </c>
    </row>
    <row r="11" spans="1:25" ht="29">
      <c r="A11" s="74">
        <v>2.8</v>
      </c>
      <c r="B11" s="345"/>
      <c r="C11" s="358"/>
      <c r="D11" s="257"/>
      <c r="E11" s="266" t="s">
        <v>104</v>
      </c>
      <c r="F11" s="257" t="s">
        <v>105</v>
      </c>
      <c r="G11" s="263" t="s">
        <v>90</v>
      </c>
      <c r="H11" s="263" t="s">
        <v>125</v>
      </c>
      <c r="I11" s="263" t="s">
        <v>206</v>
      </c>
      <c r="J11" s="87" t="s">
        <v>102</v>
      </c>
      <c r="K11" s="271">
        <f t="shared" si="0"/>
        <v>1.5</v>
      </c>
      <c r="L11" s="271">
        <f>IF(AND(D11="K",K11=1),'Maturity Rating'!$E$8,IF(K11="NA",K11,IF(D11="K",K11*'Maturity Rating'!$E$7,K11)))</f>
        <v>1.5</v>
      </c>
      <c r="M11" s="339"/>
      <c r="N11" s="339"/>
      <c r="O11" s="342"/>
      <c r="P11" s="27"/>
      <c r="Q11" s="27"/>
      <c r="S11" s="114">
        <f>VLOOKUP(G11,'Maturity Rating'!A$2:B$5,2,FALSE)</f>
        <v>2</v>
      </c>
      <c r="T11" s="114">
        <f>VLOOKUP(H11,'Maturity Rating'!A$8:B$11,2,FALSE)</f>
        <v>2</v>
      </c>
      <c r="U11" s="114">
        <f>VLOOKUP(I11,'Maturity Rating'!A$14:B$17,2,FALSE)</f>
        <v>1</v>
      </c>
      <c r="V11" s="114">
        <f>VLOOKUP(J11,'Maturity Rating'!A$20:B$23,2,FALSE)</f>
        <v>1</v>
      </c>
      <c r="W11" t="str">
        <f t="shared" si="1"/>
        <v>2211</v>
      </c>
    </row>
    <row r="12" spans="1:25" s="123" customFormat="1">
      <c r="A12" s="150">
        <v>2.9</v>
      </c>
      <c r="B12" s="345"/>
      <c r="C12" s="358"/>
      <c r="D12" s="55"/>
      <c r="E12" s="266" t="s">
        <v>106</v>
      </c>
      <c r="F12" s="55" t="s">
        <v>105</v>
      </c>
      <c r="G12" s="99" t="s">
        <v>118</v>
      </c>
      <c r="H12" s="263" t="s">
        <v>100</v>
      </c>
      <c r="I12" s="263" t="s">
        <v>120</v>
      </c>
      <c r="J12" s="87" t="s">
        <v>129</v>
      </c>
      <c r="K12" s="151">
        <f t="shared" si="0"/>
        <v>3</v>
      </c>
      <c r="L12" s="151">
        <f>IF(AND(D12="K",K12=1),'Maturity Rating'!$E$8,IF(K12="NA",K12,IF(D12="K",K12*'Maturity Rating'!$E$7,K12)))</f>
        <v>3</v>
      </c>
      <c r="M12" s="339"/>
      <c r="N12" s="339"/>
      <c r="O12" s="342"/>
      <c r="P12" s="231"/>
      <c r="Q12" s="231"/>
      <c r="R12" s="232"/>
      <c r="S12" s="60">
        <f>VLOOKUP(G12,'Maturity Rating'!A$2:B$5,2,FALSE)</f>
        <v>3</v>
      </c>
      <c r="T12" s="60">
        <f>VLOOKUP(H12,'Maturity Rating'!A$8:B$11,2,FALSE)</f>
        <v>3</v>
      </c>
      <c r="U12" s="60">
        <f>VLOOKUP(I12,'Maturity Rating'!A$14:B$17,2,FALSE)</f>
        <v>3</v>
      </c>
      <c r="V12" s="60">
        <f>VLOOKUP(J12,'Maturity Rating'!A$20:B$23,2,FALSE)</f>
        <v>3</v>
      </c>
      <c r="W12" s="232" t="str">
        <f t="shared" si="1"/>
        <v>3333</v>
      </c>
      <c r="X12" s="232"/>
      <c r="Y12" s="232"/>
    </row>
    <row r="13" spans="1:25" s="123" customFormat="1" ht="29">
      <c r="A13" s="150" t="s">
        <v>107</v>
      </c>
      <c r="B13" s="345"/>
      <c r="C13" s="358"/>
      <c r="D13" s="55" t="s">
        <v>87</v>
      </c>
      <c r="E13" s="52" t="s">
        <v>108</v>
      </c>
      <c r="F13" s="55" t="s">
        <v>89</v>
      </c>
      <c r="G13" s="99" t="s">
        <v>118</v>
      </c>
      <c r="H13" s="263" t="s">
        <v>100</v>
      </c>
      <c r="I13" s="263" t="s">
        <v>120</v>
      </c>
      <c r="J13" s="87" t="s">
        <v>129</v>
      </c>
      <c r="K13" s="151">
        <f t="shared" si="0"/>
        <v>3</v>
      </c>
      <c r="L13" s="151">
        <f>IF(AND(D13="K",K13=1),'Maturity Rating'!$E$8,IF(K13="NA",K13,IF(D13="K",K13*'Maturity Rating'!$E$7,K13)))</f>
        <v>3.5999999999999996</v>
      </c>
      <c r="M13" s="339"/>
      <c r="N13" s="339"/>
      <c r="O13" s="342"/>
      <c r="P13" s="231"/>
      <c r="Q13" s="231"/>
      <c r="R13" s="232"/>
      <c r="S13" s="60">
        <f>VLOOKUP(G13,'Maturity Rating'!A$2:B$5,2,FALSE)</f>
        <v>3</v>
      </c>
      <c r="T13" s="60">
        <f>VLOOKUP(H13,'Maturity Rating'!A$8:B$11,2,FALSE)</f>
        <v>3</v>
      </c>
      <c r="U13" s="60">
        <f>VLOOKUP(I13,'Maturity Rating'!A$14:B$17,2,FALSE)</f>
        <v>3</v>
      </c>
      <c r="V13" s="60">
        <f>VLOOKUP(J13,'Maturity Rating'!A$20:B$23,2,FALSE)</f>
        <v>3</v>
      </c>
      <c r="W13" s="232" t="str">
        <f t="shared" si="1"/>
        <v>3333</v>
      </c>
      <c r="X13" s="232"/>
      <c r="Y13" s="232"/>
    </row>
    <row r="14" spans="1:25" s="123" customFormat="1" ht="29">
      <c r="A14" s="150">
        <v>2.11</v>
      </c>
      <c r="B14" s="345"/>
      <c r="C14" s="358"/>
      <c r="D14" s="55"/>
      <c r="E14" s="1" t="s">
        <v>109</v>
      </c>
      <c r="F14" s="55" t="s">
        <v>89</v>
      </c>
      <c r="G14" s="99" t="s">
        <v>127</v>
      </c>
      <c r="H14" s="263" t="s">
        <v>95</v>
      </c>
      <c r="I14" s="263" t="s">
        <v>206</v>
      </c>
      <c r="J14" s="87" t="s">
        <v>102</v>
      </c>
      <c r="K14" s="151">
        <f t="shared" si="0"/>
        <v>1</v>
      </c>
      <c r="L14" s="151">
        <f>IF(AND(D14="K",K14=1),'Maturity Rating'!$E$8,IF(K14="NA",K14,IF(D14="K",K14*'Maturity Rating'!$E$7,K14)))</f>
        <v>1</v>
      </c>
      <c r="M14" s="339"/>
      <c r="N14" s="339"/>
      <c r="O14" s="342"/>
      <c r="P14" s="231"/>
      <c r="Q14" s="231"/>
      <c r="R14" s="232"/>
      <c r="S14" s="60">
        <f>VLOOKUP(G14,'Maturity Rating'!A$2:B$5,2,FALSE)</f>
        <v>1</v>
      </c>
      <c r="T14" s="60">
        <f>VLOOKUP(H14,'Maturity Rating'!A$8:B$11,2,FALSE)</f>
        <v>1</v>
      </c>
      <c r="U14" s="60">
        <f>VLOOKUP(I14,'Maturity Rating'!A$14:B$17,2,FALSE)</f>
        <v>1</v>
      </c>
      <c r="V14" s="60">
        <f>VLOOKUP(J14,'Maturity Rating'!A$20:B$23,2,FALSE)</f>
        <v>1</v>
      </c>
      <c r="W14" s="232" t="str">
        <f t="shared" si="1"/>
        <v>1111</v>
      </c>
      <c r="X14" s="232"/>
      <c r="Y14" s="232"/>
    </row>
    <row r="15" spans="1:25" ht="29">
      <c r="A15" s="74">
        <v>2.12</v>
      </c>
      <c r="B15" s="345"/>
      <c r="C15" s="358"/>
      <c r="D15" s="257"/>
      <c r="E15" s="266" t="s">
        <v>110</v>
      </c>
      <c r="F15" s="55" t="s">
        <v>89</v>
      </c>
      <c r="G15" s="263" t="s">
        <v>118</v>
      </c>
      <c r="H15" s="263" t="s">
        <v>100</v>
      </c>
      <c r="I15" s="263" t="s">
        <v>120</v>
      </c>
      <c r="J15" s="87" t="s">
        <v>102</v>
      </c>
      <c r="K15" s="271">
        <f t="shared" si="0"/>
        <v>2.5</v>
      </c>
      <c r="L15" s="271">
        <f>IF(AND(D15="K",K15=1),'Maturity Rating'!$E$8,IF(K15="NA",K15,IF(D15="K",K15*'Maturity Rating'!$E$7,K15)))</f>
        <v>2.5</v>
      </c>
      <c r="M15" s="339"/>
      <c r="N15" s="339"/>
      <c r="O15" s="342"/>
      <c r="P15" s="27"/>
      <c r="Q15" s="27"/>
      <c r="S15" s="114">
        <f>VLOOKUP(G15,'Maturity Rating'!A$2:B$5,2,FALSE)</f>
        <v>3</v>
      </c>
      <c r="T15" s="114">
        <f>VLOOKUP(H15,'Maturity Rating'!A$8:B$11,2,FALSE)</f>
        <v>3</v>
      </c>
      <c r="U15" s="114">
        <f>VLOOKUP(I15,'Maturity Rating'!A$14:B$17,2,FALSE)</f>
        <v>3</v>
      </c>
      <c r="V15" s="114">
        <f>VLOOKUP(J15,'Maturity Rating'!A$20:B$23,2,FALSE)</f>
        <v>1</v>
      </c>
      <c r="W15" t="str">
        <f t="shared" si="1"/>
        <v>3331</v>
      </c>
    </row>
    <row r="16" spans="1:25" ht="29">
      <c r="A16" s="100">
        <v>2.13</v>
      </c>
      <c r="B16" s="346"/>
      <c r="C16" s="358"/>
      <c r="D16" s="258"/>
      <c r="E16" s="267" t="s">
        <v>111</v>
      </c>
      <c r="F16" s="112" t="s">
        <v>89</v>
      </c>
      <c r="G16" s="263" t="s">
        <v>127</v>
      </c>
      <c r="H16" s="263" t="s">
        <v>95</v>
      </c>
      <c r="I16" s="263" t="s">
        <v>206</v>
      </c>
      <c r="J16" s="87" t="s">
        <v>102</v>
      </c>
      <c r="K16" s="271">
        <f t="shared" ref="K16" si="3">IF(W16="NANANANA",S16,IF(AND(OR(G16="Formally Documented",G16="Informally Documented"),H16="Not Implemented"),0.5*AVERAGE(S16:V16),AVERAGE(S16:V16)))</f>
        <v>1</v>
      </c>
      <c r="L16" s="271">
        <f>IF(AND(D16="K",K16=1),'Maturity Rating'!$E$8,IF(K16="NA",K16,IF(D16="K",K16*'Maturity Rating'!$E$7,K16)))</f>
        <v>1</v>
      </c>
      <c r="M16" s="339"/>
      <c r="N16" s="339"/>
      <c r="O16" s="352"/>
      <c r="P16" s="27"/>
      <c r="Q16" s="27"/>
      <c r="S16" s="114">
        <f>VLOOKUP(G16,'Maturity Rating'!A$2:B$5,2,FALSE)</f>
        <v>1</v>
      </c>
      <c r="T16" s="114">
        <f>VLOOKUP(H16,'Maturity Rating'!A$8:B$11,2,FALSE)</f>
        <v>1</v>
      </c>
      <c r="U16" s="114">
        <f>VLOOKUP(I16,'Maturity Rating'!A$14:B$17,2,FALSE)</f>
        <v>1</v>
      </c>
      <c r="V16" s="114">
        <f>VLOOKUP(J16,'Maturity Rating'!A$20:B$23,2,FALSE)</f>
        <v>1</v>
      </c>
      <c r="W16" t="str">
        <f t="shared" si="1"/>
        <v>1111</v>
      </c>
    </row>
    <row r="17" spans="1:24" ht="29.5" thickBot="1">
      <c r="A17" s="75">
        <v>2.14</v>
      </c>
      <c r="B17" s="347"/>
      <c r="C17" s="360"/>
      <c r="D17" s="259"/>
      <c r="E17" s="304" t="s">
        <v>112</v>
      </c>
      <c r="F17" s="59" t="s">
        <v>89</v>
      </c>
      <c r="G17" s="263" t="s">
        <v>127</v>
      </c>
      <c r="H17" s="263" t="s">
        <v>95</v>
      </c>
      <c r="I17" s="263" t="s">
        <v>206</v>
      </c>
      <c r="J17" s="87" t="s">
        <v>102</v>
      </c>
      <c r="K17" s="272">
        <f t="shared" si="0"/>
        <v>1</v>
      </c>
      <c r="L17" s="272">
        <f>IF(AND(D17="K",K17=1),'Maturity Rating'!$E$8,IF(K17="NA",K17,IF(D17="K",K17*'Maturity Rating'!$E$7,K17)))</f>
        <v>1</v>
      </c>
      <c r="M17" s="340"/>
      <c r="N17" s="340"/>
      <c r="O17" s="343"/>
      <c r="P17" s="27"/>
      <c r="Q17" s="27"/>
      <c r="S17" s="114">
        <f>VLOOKUP(G17,'Maturity Rating'!A$2:B$5,2,FALSE)</f>
        <v>1</v>
      </c>
      <c r="T17" s="114">
        <f>VLOOKUP(H17,'Maturity Rating'!A$8:B$11,2,FALSE)</f>
        <v>1</v>
      </c>
      <c r="U17" s="114">
        <f>VLOOKUP(I17,'Maturity Rating'!A$14:B$17,2,FALSE)</f>
        <v>1</v>
      </c>
      <c r="V17" s="114">
        <f>VLOOKUP(J17,'Maturity Rating'!A$20:B$23,2,FALSE)</f>
        <v>1</v>
      </c>
      <c r="W17" t="str">
        <f t="shared" si="1"/>
        <v>1111</v>
      </c>
    </row>
    <row r="18" spans="1:24" ht="29">
      <c r="A18" s="36">
        <v>2.15</v>
      </c>
      <c r="B18" s="359" t="s">
        <v>113</v>
      </c>
      <c r="C18" s="357" t="s">
        <v>114</v>
      </c>
      <c r="D18" s="256"/>
      <c r="E18" s="277" t="s">
        <v>115</v>
      </c>
      <c r="F18" s="56" t="s">
        <v>89</v>
      </c>
      <c r="G18" s="263" t="s">
        <v>127</v>
      </c>
      <c r="H18" s="263" t="s">
        <v>95</v>
      </c>
      <c r="I18" s="99" t="s">
        <v>91</v>
      </c>
      <c r="J18" s="87" t="s">
        <v>91</v>
      </c>
      <c r="K18" s="271">
        <f t="shared" si="0"/>
        <v>1</v>
      </c>
      <c r="L18" s="271">
        <f>IF(AND(D18="K",K18=1),'Maturity Rating'!$E$8,IF(K18="NA",K18,IF(D18="K",K18*'Maturity Rating'!$E$7,K18)))</f>
        <v>1</v>
      </c>
      <c r="M18" s="338">
        <f>IF(X18="NANANANANANANANANANA",K18,AVERAGE(L18:L26))</f>
        <v>1.8722222222222225</v>
      </c>
      <c r="N18" s="338">
        <f>IF(M18&lt;1.1,1,IF(M18="NA",M18,(MIN(5,M18/3*5))))</f>
        <v>3.1203703703703707</v>
      </c>
      <c r="O18" s="341" t="str">
        <f>IF(N18="NA",N18,VLOOKUP(Q18,'Maturity Rating'!G4:H8,2,FALSE))</f>
        <v>Defined</v>
      </c>
      <c r="P18" s="27"/>
      <c r="Q18" s="229">
        <f>IF(N18="NA",N18,ROUNDDOWN(N18,0))</f>
        <v>3</v>
      </c>
      <c r="S18" s="114">
        <f>VLOOKUP(G18,'Maturity Rating'!A$2:B$5,2,FALSE)</f>
        <v>1</v>
      </c>
      <c r="T18" s="114">
        <f>VLOOKUP(H18,'Maturity Rating'!A$8:B$11,2,FALSE)</f>
        <v>1</v>
      </c>
      <c r="U18" s="114" t="str">
        <f>VLOOKUP(I18,'Maturity Rating'!A$14:B$17,2,FALSE)</f>
        <v>NA</v>
      </c>
      <c r="V18" s="114" t="str">
        <f>VLOOKUP(J18,'Maturity Rating'!A$20:B$23,2,FALSE)</f>
        <v>NA</v>
      </c>
      <c r="W18" t="str">
        <f t="shared" si="1"/>
        <v>11NANA</v>
      </c>
      <c r="X18" t="str">
        <f>CONCATENATE(L18,L19,L20,L21,L22,L23,L24,L26)</f>
        <v>12.52.753.61131</v>
      </c>
    </row>
    <row r="19" spans="1:24" ht="29">
      <c r="A19" s="74">
        <v>2.16</v>
      </c>
      <c r="B19" s="345"/>
      <c r="C19" s="358"/>
      <c r="D19" s="257"/>
      <c r="E19" s="28" t="s">
        <v>116</v>
      </c>
      <c r="F19" s="55" t="s">
        <v>89</v>
      </c>
      <c r="G19" s="99" t="s">
        <v>118</v>
      </c>
      <c r="H19" s="263" t="s">
        <v>100</v>
      </c>
      <c r="I19" s="263" t="s">
        <v>120</v>
      </c>
      <c r="J19" s="87" t="s">
        <v>102</v>
      </c>
      <c r="K19" s="271">
        <f t="shared" si="0"/>
        <v>2.5</v>
      </c>
      <c r="L19" s="271">
        <f>IF(AND(D19="K",K19=1),'Maturity Rating'!$E$8,IF(K19="NA",K19,IF(D19="K",K19*'Maturity Rating'!$E$7,K19)))</f>
        <v>2.5</v>
      </c>
      <c r="M19" s="339"/>
      <c r="N19" s="339"/>
      <c r="O19" s="342"/>
      <c r="P19" s="27"/>
      <c r="Q19" s="27"/>
      <c r="S19" s="114">
        <f>VLOOKUP(G19,'Maturity Rating'!A$2:B$5,2,FALSE)</f>
        <v>3</v>
      </c>
      <c r="T19" s="114">
        <f>VLOOKUP(H19,'Maturity Rating'!A$8:B$11,2,FALSE)</f>
        <v>3</v>
      </c>
      <c r="U19" s="114">
        <f>VLOOKUP(I19,'Maturity Rating'!A$14:B$17,2,FALSE)</f>
        <v>3</v>
      </c>
      <c r="V19" s="114">
        <f>VLOOKUP(J19,'Maturity Rating'!A$20:B$23,2,FALSE)</f>
        <v>1</v>
      </c>
      <c r="W19" t="str">
        <f t="shared" si="1"/>
        <v>3331</v>
      </c>
    </row>
    <row r="20" spans="1:24" ht="29">
      <c r="A20" s="74">
        <v>2.17</v>
      </c>
      <c r="B20" s="345"/>
      <c r="C20" s="358"/>
      <c r="D20" s="257"/>
      <c r="E20" s="266" t="s">
        <v>117</v>
      </c>
      <c r="F20" s="55" t="s">
        <v>89</v>
      </c>
      <c r="G20" s="263" t="s">
        <v>118</v>
      </c>
      <c r="H20" s="99" t="s">
        <v>100</v>
      </c>
      <c r="I20" s="263" t="s">
        <v>120</v>
      </c>
      <c r="J20" s="87" t="s">
        <v>464</v>
      </c>
      <c r="K20" s="271">
        <f t="shared" si="0"/>
        <v>2.75</v>
      </c>
      <c r="L20" s="271">
        <f>IF(AND(D20="K",K20=1),'Maturity Rating'!$E$8,IF(K20="NA",K20,IF(D20="K",K20*'Maturity Rating'!$E$7,K20)))</f>
        <v>2.75</v>
      </c>
      <c r="M20" s="339"/>
      <c r="N20" s="339"/>
      <c r="O20" s="342"/>
      <c r="P20" s="27"/>
      <c r="Q20" s="27"/>
      <c r="S20" s="114">
        <f>VLOOKUP(G20,'Maturity Rating'!A$2:B$5,2,FALSE)</f>
        <v>3</v>
      </c>
      <c r="T20" s="114">
        <f>VLOOKUP(H20,'Maturity Rating'!A$8:B$11,2,FALSE)</f>
        <v>3</v>
      </c>
      <c r="U20" s="114">
        <f>VLOOKUP(I20,'Maturity Rating'!A$14:B$17,2,FALSE)</f>
        <v>3</v>
      </c>
      <c r="V20" s="114">
        <f>VLOOKUP(J20,'Maturity Rating'!A$20:B$23,2,FALSE)</f>
        <v>2</v>
      </c>
      <c r="W20" t="str">
        <f t="shared" si="1"/>
        <v>3332</v>
      </c>
    </row>
    <row r="21" spans="1:24" ht="29">
      <c r="A21" s="74">
        <v>2.1800000000000002</v>
      </c>
      <c r="B21" s="345"/>
      <c r="C21" s="358"/>
      <c r="D21" s="257" t="s">
        <v>87</v>
      </c>
      <c r="E21" s="52" t="s">
        <v>119</v>
      </c>
      <c r="F21" s="55" t="s">
        <v>89</v>
      </c>
      <c r="G21" s="263" t="s">
        <v>118</v>
      </c>
      <c r="H21" s="99" t="s">
        <v>100</v>
      </c>
      <c r="I21" s="99" t="s">
        <v>120</v>
      </c>
      <c r="J21" s="87" t="s">
        <v>129</v>
      </c>
      <c r="K21" s="271">
        <f t="shared" si="0"/>
        <v>3</v>
      </c>
      <c r="L21" s="271">
        <f>IF(AND(D21="K",K21=1),'Maturity Rating'!$E$8,IF(K21="NA",K21,IF(D21="K",K21*'Maturity Rating'!$E$7,K21)))</f>
        <v>3.5999999999999996</v>
      </c>
      <c r="M21" s="339"/>
      <c r="N21" s="339"/>
      <c r="O21" s="342"/>
      <c r="P21" s="27"/>
      <c r="Q21" s="27"/>
      <c r="S21" s="114">
        <f>VLOOKUP(G21,'Maturity Rating'!A$2:B$5,2,FALSE)</f>
        <v>3</v>
      </c>
      <c r="T21" s="114">
        <f>VLOOKUP(H21,'Maturity Rating'!A$8:B$11,2,FALSE)</f>
        <v>3</v>
      </c>
      <c r="U21" s="114">
        <f>VLOOKUP(I21,'Maturity Rating'!A$14:B$17,2,FALSE)</f>
        <v>3</v>
      </c>
      <c r="V21" s="114">
        <f>VLOOKUP(J21,'Maturity Rating'!A$20:B$23,2,FALSE)</f>
        <v>3</v>
      </c>
      <c r="W21" t="str">
        <f t="shared" si="1"/>
        <v>3333</v>
      </c>
    </row>
    <row r="22" spans="1:24" ht="29">
      <c r="A22" s="74">
        <v>2.19</v>
      </c>
      <c r="B22" s="345"/>
      <c r="C22" s="358"/>
      <c r="D22" s="257"/>
      <c r="E22" s="266" t="s">
        <v>121</v>
      </c>
      <c r="F22" s="257" t="s">
        <v>89</v>
      </c>
      <c r="G22" s="263" t="s">
        <v>127</v>
      </c>
      <c r="H22" s="99" t="s">
        <v>95</v>
      </c>
      <c r="I22" s="99" t="s">
        <v>206</v>
      </c>
      <c r="J22" s="87" t="s">
        <v>102</v>
      </c>
      <c r="K22" s="271">
        <f t="shared" si="0"/>
        <v>1</v>
      </c>
      <c r="L22" s="271">
        <f>IF(AND(D22="K",K22=1),'Maturity Rating'!$E$8,IF(K22="NA",K22,IF(D22="K",K22*'Maturity Rating'!$E$7,K22)))</f>
        <v>1</v>
      </c>
      <c r="M22" s="339"/>
      <c r="N22" s="339"/>
      <c r="O22" s="342"/>
      <c r="P22" s="27"/>
      <c r="Q22" s="27"/>
      <c r="S22" s="114">
        <f>VLOOKUP(G22,'Maturity Rating'!A$2:B$5,2,FALSE)</f>
        <v>1</v>
      </c>
      <c r="T22" s="114">
        <f>VLOOKUP(H22,'Maturity Rating'!A$8:B$11,2,FALSE)</f>
        <v>1</v>
      </c>
      <c r="U22" s="114">
        <f>VLOOKUP(I22,'Maturity Rating'!A$14:B$17,2,FALSE)</f>
        <v>1</v>
      </c>
      <c r="V22" s="114">
        <f>VLOOKUP(J22,'Maturity Rating'!A$20:B$23,2,FALSE)</f>
        <v>1</v>
      </c>
      <c r="W22" t="str">
        <f t="shared" si="1"/>
        <v>1111</v>
      </c>
    </row>
    <row r="23" spans="1:24" ht="29">
      <c r="A23" s="74" t="s">
        <v>122</v>
      </c>
      <c r="B23" s="345"/>
      <c r="C23" s="358"/>
      <c r="D23" s="257"/>
      <c r="E23" s="266" t="s">
        <v>123</v>
      </c>
      <c r="F23" s="257" t="s">
        <v>89</v>
      </c>
      <c r="G23" s="263" t="s">
        <v>127</v>
      </c>
      <c r="H23" s="99" t="s">
        <v>95</v>
      </c>
      <c r="I23" s="99" t="s">
        <v>206</v>
      </c>
      <c r="J23" s="87" t="s">
        <v>102</v>
      </c>
      <c r="K23" s="271">
        <f t="shared" si="0"/>
        <v>1</v>
      </c>
      <c r="L23" s="271">
        <f>IF(AND(D23="K",K23=1),'Maturity Rating'!$E$8,IF(K23="NA",K23,IF(D23="K",K23*'Maturity Rating'!$E$7,K23)))</f>
        <v>1</v>
      </c>
      <c r="M23" s="339"/>
      <c r="N23" s="339"/>
      <c r="O23" s="342"/>
      <c r="P23" s="27"/>
      <c r="Q23" s="27"/>
      <c r="S23" s="114">
        <f>VLOOKUP(G23,'Maturity Rating'!A$2:B$5,2,FALSE)</f>
        <v>1</v>
      </c>
      <c r="T23" s="114">
        <f>VLOOKUP(H23,'Maturity Rating'!A$8:B$11,2,FALSE)</f>
        <v>1</v>
      </c>
      <c r="U23" s="114">
        <f>VLOOKUP(I23,'Maturity Rating'!A$14:B$17,2,FALSE)</f>
        <v>1</v>
      </c>
      <c r="V23" s="114">
        <f>VLOOKUP(J23,'Maturity Rating'!A$20:B$23,2,FALSE)</f>
        <v>1</v>
      </c>
      <c r="W23" t="str">
        <f t="shared" si="1"/>
        <v>1111</v>
      </c>
    </row>
    <row r="24" spans="1:24" ht="29">
      <c r="A24" s="74">
        <v>2.23</v>
      </c>
      <c r="B24" s="345"/>
      <c r="C24" s="358"/>
      <c r="D24" s="257"/>
      <c r="E24" s="266" t="s">
        <v>124</v>
      </c>
      <c r="F24" s="55" t="s">
        <v>89</v>
      </c>
      <c r="G24" s="263" t="s">
        <v>118</v>
      </c>
      <c r="H24" s="263" t="s">
        <v>100</v>
      </c>
      <c r="I24" s="99" t="s">
        <v>120</v>
      </c>
      <c r="J24" s="87" t="s">
        <v>129</v>
      </c>
      <c r="K24" s="271">
        <f t="shared" si="0"/>
        <v>3</v>
      </c>
      <c r="L24" s="271">
        <f>IF(AND(D24="K",K24=1),'Maturity Rating'!$E$8,IF(K24="NA",K24,IF(D24="K",K24*'Maturity Rating'!$E$7,K24)))</f>
        <v>3</v>
      </c>
      <c r="M24" s="339"/>
      <c r="N24" s="339"/>
      <c r="O24" s="342"/>
      <c r="P24" s="27"/>
      <c r="Q24" s="27"/>
      <c r="S24" s="114">
        <f>VLOOKUP(G24,'Maturity Rating'!A$2:B$5,2,FALSE)</f>
        <v>3</v>
      </c>
      <c r="T24" s="114">
        <f>VLOOKUP(H24,'Maturity Rating'!A$8:B$11,2,FALSE)</f>
        <v>3</v>
      </c>
      <c r="U24" s="114">
        <f>VLOOKUP(I24,'Maturity Rating'!A$14:B$17,2,FALSE)</f>
        <v>3</v>
      </c>
      <c r="V24" s="114">
        <f>VLOOKUP(J24,'Maturity Rating'!A$20:B$23,2,FALSE)</f>
        <v>3</v>
      </c>
      <c r="W24" t="str">
        <f t="shared" si="1"/>
        <v>3333</v>
      </c>
    </row>
    <row r="25" spans="1:24" ht="29">
      <c r="A25" s="100">
        <v>2.2400000000000002</v>
      </c>
      <c r="B25" s="346"/>
      <c r="C25" s="358"/>
      <c r="D25" s="258"/>
      <c r="E25" s="303" t="s">
        <v>126</v>
      </c>
      <c r="F25" s="112" t="s">
        <v>89</v>
      </c>
      <c r="G25" s="263" t="s">
        <v>127</v>
      </c>
      <c r="H25" s="263" t="s">
        <v>95</v>
      </c>
      <c r="I25" s="99" t="s">
        <v>91</v>
      </c>
      <c r="J25" s="87" t="s">
        <v>102</v>
      </c>
      <c r="K25" s="271">
        <f t="shared" ref="K25" si="4">IF(W25="NANANANA",S25,IF(AND(OR(G25="Formally Documented",G25="Informally Documented"),H25="Not Implemented"),0.5*AVERAGE(S25:V25),AVERAGE(S25:V25)))</f>
        <v>1</v>
      </c>
      <c r="L25" s="271">
        <f>IF(AND(D25="K",K25=1),'Maturity Rating'!$E$8,IF(K25="NA",K25,IF(D25="K",K25*'Maturity Rating'!$E$7,K25)))</f>
        <v>1</v>
      </c>
      <c r="M25" s="339"/>
      <c r="N25" s="339"/>
      <c r="O25" s="352"/>
      <c r="P25" s="27"/>
      <c r="Q25" s="27"/>
      <c r="S25" s="114">
        <f>VLOOKUP(G25,'Maturity Rating'!A$2:B$5,2,FALSE)</f>
        <v>1</v>
      </c>
      <c r="T25" s="114">
        <f>VLOOKUP(H25,'Maturity Rating'!A$8:B$11,2,FALSE)</f>
        <v>1</v>
      </c>
      <c r="U25" s="114" t="str">
        <f>VLOOKUP(I25,'Maturity Rating'!A$14:B$17,2,FALSE)</f>
        <v>NA</v>
      </c>
      <c r="V25" s="114">
        <f>VLOOKUP(J25,'Maturity Rating'!A$20:B$23,2,FALSE)</f>
        <v>1</v>
      </c>
      <c r="W25" t="str">
        <f t="shared" si="1"/>
        <v>11NA1</v>
      </c>
    </row>
    <row r="26" spans="1:24" ht="29.5" thickBot="1">
      <c r="A26" s="75">
        <v>2.25</v>
      </c>
      <c r="B26" s="347"/>
      <c r="C26" s="360"/>
      <c r="D26" s="259"/>
      <c r="E26" s="268" t="s">
        <v>128</v>
      </c>
      <c r="F26" s="259" t="s">
        <v>89</v>
      </c>
      <c r="G26" s="59" t="s">
        <v>127</v>
      </c>
      <c r="H26" s="59" t="s">
        <v>95</v>
      </c>
      <c r="I26" s="59" t="s">
        <v>206</v>
      </c>
      <c r="J26" s="80" t="s">
        <v>102</v>
      </c>
      <c r="K26" s="272">
        <f t="shared" si="0"/>
        <v>1</v>
      </c>
      <c r="L26" s="272">
        <f>IF(AND(D26="K",K26=1),'Maturity Rating'!$E$8,IF(K26="NA",K26,IF(D26="K",K26*'Maturity Rating'!$E$7,K26)))</f>
        <v>1</v>
      </c>
      <c r="M26" s="340"/>
      <c r="N26" s="340"/>
      <c r="O26" s="343"/>
      <c r="P26" s="27"/>
      <c r="Q26" s="27"/>
      <c r="S26" s="114">
        <f>VLOOKUP(G26,'Maturity Rating'!A$2:B$5,2,FALSE)</f>
        <v>1</v>
      </c>
      <c r="T26" s="114">
        <f>VLOOKUP(H26,'Maturity Rating'!A$8:B$11,2,FALSE)</f>
        <v>1</v>
      </c>
      <c r="U26" s="114">
        <f>VLOOKUP(I26,'Maturity Rating'!A$14:B$17,2,FALSE)</f>
        <v>1</v>
      </c>
      <c r="V26" s="114">
        <f>VLOOKUP(J26,'Maturity Rating'!A$20:B$23,2,FALSE)</f>
        <v>1</v>
      </c>
      <c r="W26" t="str">
        <f t="shared" si="1"/>
        <v>1111</v>
      </c>
    </row>
    <row r="27" spans="1:24" ht="29">
      <c r="A27" s="36">
        <v>2.2599999999999998</v>
      </c>
      <c r="B27" s="359" t="s">
        <v>130</v>
      </c>
      <c r="C27" s="357" t="s">
        <v>131</v>
      </c>
      <c r="D27" s="256" t="s">
        <v>87</v>
      </c>
      <c r="E27" s="51" t="s">
        <v>132</v>
      </c>
      <c r="F27" s="256" t="s">
        <v>89</v>
      </c>
      <c r="G27" s="99" t="s">
        <v>127</v>
      </c>
      <c r="H27" s="263" t="s">
        <v>95</v>
      </c>
      <c r="I27" s="263" t="s">
        <v>91</v>
      </c>
      <c r="J27" s="87" t="s">
        <v>102</v>
      </c>
      <c r="K27" s="271">
        <f t="shared" si="0"/>
        <v>1</v>
      </c>
      <c r="L27" s="271">
        <f>IF(AND(D27="K",K27=1),'Maturity Rating'!$E$8,IF(K27="NA",K27,IF(D27="K",K27*'Maturity Rating'!$E$7,K27)))</f>
        <v>0.8</v>
      </c>
      <c r="M27" s="338">
        <f>IF(X27="NANANANANANANA",K27,AVERAGE(L27:L35))</f>
        <v>0.97499999999999998</v>
      </c>
      <c r="N27" s="338">
        <f>IF(M27&lt;1.1,1,IF(M27="NA",M27,(MIN(5,M27/3*5))))</f>
        <v>1</v>
      </c>
      <c r="O27" s="341" t="str">
        <f>IF(N27="NA",N27,VLOOKUP(Q27,'Maturity Rating'!G4:H8,2,FALSE))</f>
        <v>Initial</v>
      </c>
      <c r="P27" s="27"/>
      <c r="Q27" s="229">
        <f>IF(N27="NA",N27,ROUNDDOWN(N27,0))</f>
        <v>1</v>
      </c>
      <c r="S27" s="114">
        <f>VLOOKUP(G27,'Maturity Rating'!A$2:B$5,2,FALSE)</f>
        <v>1</v>
      </c>
      <c r="T27" s="114">
        <f>VLOOKUP(H27,'Maturity Rating'!A$8:B$11,2,FALSE)</f>
        <v>1</v>
      </c>
      <c r="U27" s="114" t="str">
        <f>VLOOKUP(I27,'Maturity Rating'!A$14:B$17,2,FALSE)</f>
        <v>NA</v>
      </c>
      <c r="V27" s="114">
        <f>VLOOKUP(J27,'Maturity Rating'!A$20:B$23,2,FALSE)</f>
        <v>1</v>
      </c>
      <c r="W27" t="str">
        <f t="shared" si="1"/>
        <v>11NA1</v>
      </c>
      <c r="X27" t="str">
        <f>CONCATENATE(L27,L28,L29,L30,L31,L32,L33,L34,L35)</f>
        <v>0.811111NA11</v>
      </c>
    </row>
    <row r="28" spans="1:24" ht="29">
      <c r="A28" s="74">
        <v>2.27</v>
      </c>
      <c r="B28" s="345"/>
      <c r="C28" s="358"/>
      <c r="D28" s="266"/>
      <c r="E28" s="266" t="s">
        <v>133</v>
      </c>
      <c r="F28" s="55" t="s">
        <v>105</v>
      </c>
      <c r="G28" s="99" t="s">
        <v>127</v>
      </c>
      <c r="H28" s="263" t="s">
        <v>95</v>
      </c>
      <c r="I28" s="263" t="s">
        <v>206</v>
      </c>
      <c r="J28" s="257" t="s">
        <v>102</v>
      </c>
      <c r="K28" s="271">
        <f t="shared" si="0"/>
        <v>1</v>
      </c>
      <c r="L28" s="271">
        <f>IF(AND(D28="K",K28=1),'Maturity Rating'!$E$8,IF(K28="NA",K28,IF(D28="K",K28*'Maturity Rating'!$E$7,K28)))</f>
        <v>1</v>
      </c>
      <c r="M28" s="339"/>
      <c r="N28" s="339"/>
      <c r="O28" s="342"/>
      <c r="P28" s="27"/>
      <c r="Q28" s="27"/>
      <c r="S28" s="114">
        <f>VLOOKUP(G28,'Maturity Rating'!A$2:B$5,2,FALSE)</f>
        <v>1</v>
      </c>
      <c r="T28" s="114">
        <f>VLOOKUP(H28,'Maturity Rating'!A$8:B$11,2,FALSE)</f>
        <v>1</v>
      </c>
      <c r="U28" s="114">
        <f>VLOOKUP(I28,'Maturity Rating'!A$14:B$17,2,FALSE)</f>
        <v>1</v>
      </c>
      <c r="V28" s="114">
        <f>VLOOKUP(J28,'Maturity Rating'!A$20:B$23,2,FALSE)</f>
        <v>1</v>
      </c>
      <c r="W28" t="str">
        <f t="shared" si="1"/>
        <v>1111</v>
      </c>
    </row>
    <row r="29" spans="1:24" ht="29">
      <c r="A29" s="74">
        <v>2.2799999999999998</v>
      </c>
      <c r="B29" s="345"/>
      <c r="C29" s="358"/>
      <c r="D29" s="266"/>
      <c r="E29" s="266" t="s">
        <v>134</v>
      </c>
      <c r="F29" s="55" t="s">
        <v>105</v>
      </c>
      <c r="G29" s="99" t="s">
        <v>127</v>
      </c>
      <c r="H29" s="263" t="s">
        <v>95</v>
      </c>
      <c r="I29" s="263" t="s">
        <v>206</v>
      </c>
      <c r="J29" s="257" t="s">
        <v>102</v>
      </c>
      <c r="K29" s="271">
        <f t="shared" si="0"/>
        <v>1</v>
      </c>
      <c r="L29" s="271">
        <f>IF(AND(D29="K",K29=1),'Maturity Rating'!$E$8,IF(K29="NA",K29,IF(D29="K",K29*'Maturity Rating'!$E$7,K29)))</f>
        <v>1</v>
      </c>
      <c r="M29" s="339"/>
      <c r="N29" s="339"/>
      <c r="O29" s="342"/>
      <c r="P29" s="27"/>
      <c r="Q29" s="27"/>
      <c r="S29" s="114">
        <f>VLOOKUP(G29,'Maturity Rating'!A$2:B$5,2,FALSE)</f>
        <v>1</v>
      </c>
      <c r="T29" s="114">
        <f>VLOOKUP(H29,'Maturity Rating'!A$8:B$11,2,FALSE)</f>
        <v>1</v>
      </c>
      <c r="U29" s="114">
        <f>VLOOKUP(I29,'Maturity Rating'!A$14:B$17,2,FALSE)</f>
        <v>1</v>
      </c>
      <c r="V29" s="114">
        <f>VLOOKUP(J29,'Maturity Rating'!A$20:B$23,2,FALSE)</f>
        <v>1</v>
      </c>
      <c r="W29" t="str">
        <f t="shared" si="1"/>
        <v>1111</v>
      </c>
    </row>
    <row r="30" spans="1:24" ht="29">
      <c r="A30" s="74">
        <v>2.29</v>
      </c>
      <c r="B30" s="345"/>
      <c r="C30" s="358"/>
      <c r="D30" s="257"/>
      <c r="E30" s="266" t="s">
        <v>135</v>
      </c>
      <c r="F30" s="257" t="s">
        <v>89</v>
      </c>
      <c r="G30" s="99" t="s">
        <v>127</v>
      </c>
      <c r="H30" s="263" t="s">
        <v>95</v>
      </c>
      <c r="I30" s="263" t="s">
        <v>206</v>
      </c>
      <c r="J30" s="257" t="s">
        <v>102</v>
      </c>
      <c r="K30" s="271">
        <f t="shared" si="0"/>
        <v>1</v>
      </c>
      <c r="L30" s="271">
        <f>IF(AND(D30="K",K30=1),'Maturity Rating'!$E$8,IF(K30="NA",K30,IF(D30="K",K30*'Maturity Rating'!$E$7,K30)))</f>
        <v>1</v>
      </c>
      <c r="M30" s="339"/>
      <c r="N30" s="339"/>
      <c r="O30" s="342"/>
      <c r="P30" s="27"/>
      <c r="Q30" s="27"/>
      <c r="S30" s="114">
        <f>VLOOKUP(G30,'Maturity Rating'!A$2:B$5,2,FALSE)</f>
        <v>1</v>
      </c>
      <c r="T30" s="114">
        <f>VLOOKUP(H30,'Maturity Rating'!A$8:B$11,2,FALSE)</f>
        <v>1</v>
      </c>
      <c r="U30" s="114">
        <f>VLOOKUP(I30,'Maturity Rating'!A$14:B$17,2,FALSE)</f>
        <v>1</v>
      </c>
      <c r="V30" s="114">
        <f>VLOOKUP(J30,'Maturity Rating'!A$20:B$23,2,FALSE)</f>
        <v>1</v>
      </c>
      <c r="W30" t="str">
        <f t="shared" si="1"/>
        <v>1111</v>
      </c>
    </row>
    <row r="31" spans="1:24" ht="29">
      <c r="A31" s="74" t="s">
        <v>136</v>
      </c>
      <c r="B31" s="345"/>
      <c r="C31" s="358"/>
      <c r="D31" s="266"/>
      <c r="E31" s="266" t="s">
        <v>137</v>
      </c>
      <c r="F31" s="55" t="s">
        <v>105</v>
      </c>
      <c r="G31" s="99" t="s">
        <v>127</v>
      </c>
      <c r="H31" s="263" t="s">
        <v>95</v>
      </c>
      <c r="I31" s="263" t="s">
        <v>206</v>
      </c>
      <c r="J31" s="257" t="s">
        <v>102</v>
      </c>
      <c r="K31" s="271">
        <f t="shared" si="0"/>
        <v>1</v>
      </c>
      <c r="L31" s="271">
        <f>IF(AND(D31="K",K31=1),'Maturity Rating'!$E$8,IF(K31="NA",K31,IF(D31="K",K31*'Maturity Rating'!$E$7,K31)))</f>
        <v>1</v>
      </c>
      <c r="M31" s="339"/>
      <c r="N31" s="339"/>
      <c r="O31" s="342"/>
      <c r="P31" s="27"/>
      <c r="Q31" s="27"/>
      <c r="S31" s="114">
        <f>VLOOKUP(G31,'Maturity Rating'!A$2:B$5,2,FALSE)</f>
        <v>1</v>
      </c>
      <c r="T31" s="114">
        <f>VLOOKUP(H31,'Maturity Rating'!A$8:B$11,2,FALSE)</f>
        <v>1</v>
      </c>
      <c r="U31" s="114">
        <f>VLOOKUP(I31,'Maturity Rating'!A$14:B$17,2,FALSE)</f>
        <v>1</v>
      </c>
      <c r="V31" s="114">
        <f>VLOOKUP(J31,'Maturity Rating'!A$20:B$23,2,FALSE)</f>
        <v>1</v>
      </c>
      <c r="W31" t="str">
        <f t="shared" si="1"/>
        <v>1111</v>
      </c>
    </row>
    <row r="32" spans="1:24" ht="29">
      <c r="A32" s="74">
        <v>2.31</v>
      </c>
      <c r="B32" s="345"/>
      <c r="C32" s="358"/>
      <c r="D32" s="266"/>
      <c r="E32" s="266" t="s">
        <v>138</v>
      </c>
      <c r="F32" s="55" t="s">
        <v>89</v>
      </c>
      <c r="G32" s="99" t="s">
        <v>127</v>
      </c>
      <c r="H32" s="263" t="s">
        <v>95</v>
      </c>
      <c r="I32" s="263" t="s">
        <v>206</v>
      </c>
      <c r="J32" s="257" t="s">
        <v>102</v>
      </c>
      <c r="K32" s="271">
        <f t="shared" si="0"/>
        <v>1</v>
      </c>
      <c r="L32" s="271">
        <f>IF(AND(D32="K",K32=1),'Maturity Rating'!$E$8,IF(K32="NA",K32,IF(D32="K",K32*'Maturity Rating'!$E$7,K32)))</f>
        <v>1</v>
      </c>
      <c r="M32" s="339"/>
      <c r="N32" s="339"/>
      <c r="O32" s="342"/>
      <c r="P32" s="27"/>
      <c r="Q32" s="27"/>
      <c r="S32" s="114">
        <f>VLOOKUP(G32,'Maturity Rating'!A$2:B$5,2,FALSE)</f>
        <v>1</v>
      </c>
      <c r="T32" s="114">
        <f>VLOOKUP(H32,'Maturity Rating'!A$8:B$11,2,FALSE)</f>
        <v>1</v>
      </c>
      <c r="U32" s="114">
        <f>VLOOKUP(I32,'Maturity Rating'!A$14:B$17,2,FALSE)</f>
        <v>1</v>
      </c>
      <c r="V32" s="114">
        <f>VLOOKUP(J32,'Maturity Rating'!A$20:B$23,2,FALSE)</f>
        <v>1</v>
      </c>
      <c r="W32" t="str">
        <f t="shared" si="1"/>
        <v>1111</v>
      </c>
    </row>
    <row r="33" spans="1:23">
      <c r="A33" s="100">
        <v>2.3199999999999998</v>
      </c>
      <c r="B33" s="346"/>
      <c r="C33" s="358"/>
      <c r="D33" s="267"/>
      <c r="E33" s="303" t="s">
        <v>139</v>
      </c>
      <c r="F33" s="112" t="s">
        <v>89</v>
      </c>
      <c r="G33" s="99" t="s">
        <v>91</v>
      </c>
      <c r="H33" s="263" t="s">
        <v>91</v>
      </c>
      <c r="I33" s="263" t="s">
        <v>91</v>
      </c>
      <c r="J33" s="257" t="s">
        <v>91</v>
      </c>
      <c r="K33" s="271" t="str">
        <f t="shared" ref="K33:K34" si="5">IF(W33="NANANANA",S33,IF(AND(OR(G33="Formally Documented",G33="Informally Documented"),H33="Not Implemented"),0.5*AVERAGE(S33:V33),AVERAGE(S33:V33)))</f>
        <v>NA</v>
      </c>
      <c r="L33" s="271" t="str">
        <f>IF(AND(D33="K",K33=1),'Maturity Rating'!$E$8,IF(K33="NA",K33,IF(D33="K",K33*'Maturity Rating'!$E$7,K33)))</f>
        <v>NA</v>
      </c>
      <c r="M33" s="339"/>
      <c r="N33" s="339"/>
      <c r="O33" s="352"/>
      <c r="P33" s="27"/>
      <c r="Q33" s="27"/>
      <c r="S33" s="114" t="str">
        <f>VLOOKUP(G33,'Maturity Rating'!A$2:B$5,2,FALSE)</f>
        <v>NA</v>
      </c>
      <c r="T33" s="114" t="str">
        <f>VLOOKUP(H33,'Maturity Rating'!A$8:B$11,2,FALSE)</f>
        <v>NA</v>
      </c>
      <c r="U33" s="114" t="str">
        <f>VLOOKUP(I33,'Maturity Rating'!A$14:B$17,2,FALSE)</f>
        <v>NA</v>
      </c>
      <c r="V33" s="114" t="str">
        <f>VLOOKUP(J33,'Maturity Rating'!A$20:B$23,2,FALSE)</f>
        <v>NA</v>
      </c>
      <c r="W33" t="str">
        <f t="shared" si="1"/>
        <v>NANANANA</v>
      </c>
    </row>
    <row r="34" spans="1:23" ht="29">
      <c r="A34" s="100">
        <v>2.33</v>
      </c>
      <c r="B34" s="346"/>
      <c r="C34" s="358"/>
      <c r="D34" s="267"/>
      <c r="E34" s="267" t="s">
        <v>140</v>
      </c>
      <c r="F34" s="112" t="s">
        <v>105</v>
      </c>
      <c r="G34" s="99" t="s">
        <v>127</v>
      </c>
      <c r="H34" s="263" t="s">
        <v>95</v>
      </c>
      <c r="I34" s="263" t="s">
        <v>206</v>
      </c>
      <c r="J34" s="257" t="s">
        <v>102</v>
      </c>
      <c r="K34" s="271">
        <f t="shared" si="5"/>
        <v>1</v>
      </c>
      <c r="L34" s="271">
        <f>IF(AND(D34="K",K34=1),'Maturity Rating'!$E$8,IF(K34="NA",K34,IF(D34="K",K34*'Maturity Rating'!$E$7,K34)))</f>
        <v>1</v>
      </c>
      <c r="M34" s="339"/>
      <c r="N34" s="339"/>
      <c r="O34" s="352"/>
      <c r="P34" s="27"/>
      <c r="Q34" s="27"/>
      <c r="S34" s="114">
        <f>VLOOKUP(G34,'Maturity Rating'!A$2:B$5,2,FALSE)</f>
        <v>1</v>
      </c>
      <c r="T34" s="114">
        <f>VLOOKUP(H34,'Maturity Rating'!A$8:B$11,2,FALSE)</f>
        <v>1</v>
      </c>
      <c r="U34" s="114">
        <f>VLOOKUP(I34,'Maturity Rating'!A$14:B$17,2,FALSE)</f>
        <v>1</v>
      </c>
      <c r="V34" s="114">
        <f>VLOOKUP(J34,'Maturity Rating'!A$20:B$23,2,FALSE)</f>
        <v>1</v>
      </c>
      <c r="W34" t="str">
        <f t="shared" si="1"/>
        <v>1111</v>
      </c>
    </row>
    <row r="35" spans="1:23" ht="29.5" thickBot="1">
      <c r="A35" s="75">
        <v>2.34</v>
      </c>
      <c r="B35" s="347"/>
      <c r="C35" s="360"/>
      <c r="D35" s="268"/>
      <c r="E35" s="268" t="s">
        <v>141</v>
      </c>
      <c r="F35" s="59" t="s">
        <v>89</v>
      </c>
      <c r="G35" s="59" t="s">
        <v>127</v>
      </c>
      <c r="H35" s="59" t="s">
        <v>95</v>
      </c>
      <c r="I35" s="259" t="s">
        <v>206</v>
      </c>
      <c r="J35" s="259" t="s">
        <v>102</v>
      </c>
      <c r="K35" s="272">
        <f t="shared" si="0"/>
        <v>1</v>
      </c>
      <c r="L35" s="272">
        <f>IF(AND(D35="K",K35=1),'Maturity Rating'!$E$8,IF(K35="NA",K35,IF(D35="K",K35*'Maturity Rating'!$E$7,K35)))</f>
        <v>1</v>
      </c>
      <c r="M35" s="340"/>
      <c r="N35" s="340"/>
      <c r="O35" s="343"/>
      <c r="P35" s="27"/>
      <c r="Q35" s="27"/>
      <c r="S35" s="114">
        <f>VLOOKUP(G35,'Maturity Rating'!A$2:B$5,2,FALSE)</f>
        <v>1</v>
      </c>
      <c r="T35" s="114">
        <f>VLOOKUP(H35,'Maturity Rating'!A$8:B$11,2,FALSE)</f>
        <v>1</v>
      </c>
      <c r="U35" s="114">
        <f>VLOOKUP(I35,'Maturity Rating'!A$14:B$17,2,FALSE)</f>
        <v>1</v>
      </c>
      <c r="V35" s="114">
        <f>VLOOKUP(J35,'Maturity Rating'!A$20:B$23,2,FALSE)</f>
        <v>1</v>
      </c>
      <c r="W35" t="str">
        <f t="shared" si="1"/>
        <v>1111</v>
      </c>
    </row>
  </sheetData>
  <mergeCells count="21">
    <mergeCell ref="M27:M35"/>
    <mergeCell ref="N27:N35"/>
    <mergeCell ref="N4:N8"/>
    <mergeCell ref="C9:C17"/>
    <mergeCell ref="C1:D1"/>
    <mergeCell ref="O4:O8"/>
    <mergeCell ref="O9:O17"/>
    <mergeCell ref="O18:O26"/>
    <mergeCell ref="O27:O35"/>
    <mergeCell ref="B18:B26"/>
    <mergeCell ref="C18:C26"/>
    <mergeCell ref="B27:B35"/>
    <mergeCell ref="C27:C35"/>
    <mergeCell ref="M4:M8"/>
    <mergeCell ref="M18:M26"/>
    <mergeCell ref="B9:B17"/>
    <mergeCell ref="C4:C8"/>
    <mergeCell ref="B4:B8"/>
    <mergeCell ref="M9:M17"/>
    <mergeCell ref="N9:N17"/>
    <mergeCell ref="N18:N26"/>
  </mergeCells>
  <pageMargins left="0.7" right="0.7" top="0.75" bottom="0.75" header="0.3" footer="0.3"/>
  <pageSetup paperSize="9" orientation="portrait" r:id="rId1"/>
  <ignoredErrors>
    <ignoredError sqref="F1 K5:O35 K4:L4 N4:O4" evalError="1"/>
  </ignoredErrors>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500-000000000000}">
          <x14:formula1>
            <xm:f>'Maturity Rating'!$A$2:$A$5</xm:f>
          </x14:formula1>
          <xm:sqref>G4:G35</xm:sqref>
        </x14:dataValidation>
        <x14:dataValidation type="list" allowBlank="1" showInputMessage="1" showErrorMessage="1" xr:uid="{00000000-0002-0000-0500-000001000000}">
          <x14:formula1>
            <xm:f>'Maturity Rating'!$A$14:$A$17</xm:f>
          </x14:formula1>
          <xm:sqref>I4:I35</xm:sqref>
        </x14:dataValidation>
        <x14:dataValidation type="list" allowBlank="1" showInputMessage="1" showErrorMessage="1" xr:uid="{00000000-0002-0000-0500-000002000000}">
          <x14:formula1>
            <xm:f>'Maturity Rating'!$A$20:$A$23</xm:f>
          </x14:formula1>
          <xm:sqref>J4:J35</xm:sqref>
        </x14:dataValidation>
        <x14:dataValidation type="list" allowBlank="1" showInputMessage="1" showErrorMessage="1" xr:uid="{00000000-0002-0000-0500-000003000000}">
          <x14:formula1>
            <xm:f>'Maturity Rating'!$A$8:$A$11</xm:f>
          </x14:formula1>
          <xm:sqref>H4:H35</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2"/>
  </sheetPr>
  <dimension ref="A1:Y26"/>
  <sheetViews>
    <sheetView showGridLines="0" zoomScale="50" zoomScaleNormal="80" workbookViewId="0">
      <selection activeCell="H24" sqref="H24"/>
    </sheetView>
  </sheetViews>
  <sheetFormatPr defaultColWidth="9.08984375" defaultRowHeight="14.5"/>
  <cols>
    <col min="1" max="1" width="11.08984375" style="22" customWidth="1"/>
    <col min="2" max="2" width="23.08984375" style="24" customWidth="1"/>
    <col min="3" max="3" width="34.90625" style="25" customWidth="1"/>
    <col min="4" max="4" width="25" style="25" customWidth="1"/>
    <col min="5" max="5" width="79.1796875" style="24" customWidth="1"/>
    <col min="6" max="6" width="31.36328125" style="62" bestFit="1" customWidth="1"/>
    <col min="7" max="8" width="20.6328125" style="62" customWidth="1"/>
    <col min="9" max="9" width="20.90625" style="62" bestFit="1" customWidth="1"/>
    <col min="10" max="10" width="20.6328125" style="62" customWidth="1"/>
    <col min="11" max="11" width="13.6328125" style="24" bestFit="1" customWidth="1"/>
    <col min="12" max="12" width="26.36328125" style="24" customWidth="1"/>
    <col min="13" max="13" width="18.81640625" style="24" customWidth="1"/>
    <col min="14" max="14" width="20.90625" style="24" bestFit="1" customWidth="1"/>
    <col min="15" max="15" width="13.6328125" style="24" customWidth="1"/>
    <col min="16" max="16" width="6.453125" customWidth="1"/>
    <col min="17" max="17" width="4" hidden="1" customWidth="1"/>
    <col min="18" max="18" width="7.54296875" hidden="1" customWidth="1"/>
    <col min="19" max="19" width="19.81640625" style="189" hidden="1" customWidth="1"/>
    <col min="20" max="20" width="15.81640625" style="189" hidden="1" customWidth="1"/>
    <col min="21" max="21" width="17.453125" style="189" hidden="1" customWidth="1"/>
    <col min="22" max="22" width="15.36328125" style="189" hidden="1" customWidth="1"/>
    <col min="23" max="23" width="29.54296875" hidden="1" customWidth="1"/>
    <col min="24" max="24" width="20.6328125" hidden="1" customWidth="1"/>
    <col min="26" max="16384" width="9.08984375" style="24"/>
  </cols>
  <sheetData>
    <row r="1" spans="1:25" ht="19" thickBot="1">
      <c r="C1" s="353" t="s">
        <v>66</v>
      </c>
      <c r="D1" s="354"/>
      <c r="E1" s="45" t="str">
        <f>IF(F1="NA","Not Applicable",VLOOKUP(T1,'Maturity Rating'!G4:H8,2,FALSE))</f>
        <v>Partial</v>
      </c>
      <c r="F1" s="46">
        <f>IF(U1="NANANA","NA",AVERAGE(N4:N26))</f>
        <v>2.7732563732563733</v>
      </c>
      <c r="G1" s="22"/>
      <c r="I1" s="22"/>
      <c r="S1"/>
      <c r="T1" s="233">
        <f>ROUNDDOWN(F1,0)</f>
        <v>2</v>
      </c>
      <c r="U1" s="98" t="str">
        <f>CONCATENATE(N4,N9,N20)</f>
        <v>4.116666666666672.179292929292932.02380952380952</v>
      </c>
      <c r="V1"/>
    </row>
    <row r="2" spans="1:25" ht="15" thickBot="1"/>
    <row r="3" spans="1:25" s="22" customFormat="1" ht="29.5" thickBot="1">
      <c r="A3" s="88" t="s">
        <v>2</v>
      </c>
      <c r="B3" s="81" t="s">
        <v>67</v>
      </c>
      <c r="C3" s="81" t="s">
        <v>68</v>
      </c>
      <c r="D3" s="81" t="s">
        <v>69</v>
      </c>
      <c r="E3" s="81" t="s">
        <v>70</v>
      </c>
      <c r="F3" s="81" t="s">
        <v>71</v>
      </c>
      <c r="G3" s="81" t="s">
        <v>72</v>
      </c>
      <c r="H3" s="81" t="s">
        <v>73</v>
      </c>
      <c r="I3" s="81" t="s">
        <v>74</v>
      </c>
      <c r="J3" s="81" t="s">
        <v>75</v>
      </c>
      <c r="K3" s="81" t="s">
        <v>76</v>
      </c>
      <c r="L3" s="81" t="s">
        <v>77</v>
      </c>
      <c r="M3" s="81" t="s">
        <v>164</v>
      </c>
      <c r="N3" s="81" t="s">
        <v>79</v>
      </c>
      <c r="O3" s="89" t="s">
        <v>80</v>
      </c>
      <c r="P3"/>
      <c r="Q3"/>
      <c r="R3"/>
      <c r="S3" s="227" t="s">
        <v>81</v>
      </c>
      <c r="T3" s="227" t="s">
        <v>82</v>
      </c>
      <c r="U3" s="227" t="s">
        <v>83</v>
      </c>
      <c r="V3" s="227" t="s">
        <v>84</v>
      </c>
      <c r="W3" s="228"/>
      <c r="X3" s="228"/>
      <c r="Y3" s="228"/>
    </row>
    <row r="4" spans="1:25" ht="29">
      <c r="A4" s="36">
        <v>3.1</v>
      </c>
      <c r="B4" s="359" t="s">
        <v>85</v>
      </c>
      <c r="C4" s="368" t="s">
        <v>165</v>
      </c>
      <c r="D4" s="256" t="s">
        <v>87</v>
      </c>
      <c r="E4" s="147" t="s">
        <v>166</v>
      </c>
      <c r="F4" s="263" t="s">
        <v>89</v>
      </c>
      <c r="G4" s="263" t="s">
        <v>118</v>
      </c>
      <c r="H4" s="99" t="s">
        <v>100</v>
      </c>
      <c r="I4" s="263" t="s">
        <v>120</v>
      </c>
      <c r="J4" s="263" t="s">
        <v>129</v>
      </c>
      <c r="K4" s="271">
        <f t="shared" ref="K4:K19" si="0">IF(W4="NANANANA",S4,IF(AND(OR(G4="Formally Documented",G4="Informally Documented"),H4="Not Implemented"),0.5*AVERAGE(S4:V4),AVERAGE(S4:V4)))</f>
        <v>3</v>
      </c>
      <c r="L4" s="271">
        <f>IF(AND(D4="K",K4=1),'Maturity Rating'!$E$8,IF(K4="NA",K4,IF(D4="K",K4*'Maturity Rating'!$E$7,K4)))</f>
        <v>3.5999999999999996</v>
      </c>
      <c r="M4" s="338">
        <f>IF(X4="NANANANA",K4,AVERAGE(L4:L8))</f>
        <v>2.4699999999999998</v>
      </c>
      <c r="N4" s="338">
        <f>IF(M4&lt;1.1,1,IF(M4="NA",M4,(MIN(5,M4/3*5))))</f>
        <v>4.1166666666666663</v>
      </c>
      <c r="O4" s="363" t="str">
        <f>IF(N4="NA",N4,VLOOKUP(Q4,'Maturity Rating'!G4:H8,2,FALSE))</f>
        <v>Repeatable</v>
      </c>
      <c r="P4" s="27"/>
      <c r="Q4" s="229">
        <f>IF(N4="NA",N4,ROUNDDOWN(N4,0))</f>
        <v>4</v>
      </c>
      <c r="S4" s="114">
        <f>VLOOKUP(G4,'Maturity Rating'!A$2:B$5,2,FALSE)</f>
        <v>3</v>
      </c>
      <c r="T4" s="114">
        <f>VLOOKUP(H4,'Maturity Rating'!A$8:B$11,2,FALSE)</f>
        <v>3</v>
      </c>
      <c r="U4" s="114">
        <f>VLOOKUP(I4,'Maturity Rating'!A$14:B$17,2,FALSE)</f>
        <v>3</v>
      </c>
      <c r="V4" s="114">
        <f>VLOOKUP(J4,'Maturity Rating'!A$20:B$23,2,FALSE)</f>
        <v>3</v>
      </c>
      <c r="W4" t="str">
        <f>CONCATENATE(S4,T4,U4,V4)</f>
        <v>3333</v>
      </c>
      <c r="X4" t="str">
        <f>CONCATENATE(L4,L5,L6,L7,L8)</f>
        <v>3.632.252.51</v>
      </c>
    </row>
    <row r="5" spans="1:25" ht="29">
      <c r="A5" s="74">
        <v>3.2</v>
      </c>
      <c r="B5" s="345"/>
      <c r="C5" s="365"/>
      <c r="D5" s="257"/>
      <c r="E5" s="1" t="s">
        <v>167</v>
      </c>
      <c r="F5" s="257" t="s">
        <v>89</v>
      </c>
      <c r="G5" s="257" t="s">
        <v>118</v>
      </c>
      <c r="H5" s="99" t="s">
        <v>100</v>
      </c>
      <c r="I5" s="263" t="s">
        <v>120</v>
      </c>
      <c r="J5" s="263" t="s">
        <v>129</v>
      </c>
      <c r="K5" s="271">
        <f t="shared" si="0"/>
        <v>3</v>
      </c>
      <c r="L5" s="273">
        <f>IF(AND(D5="K",K5=1),'Maturity Rating'!$E$8,IF(K5="NA",K5,IF(D5="K",K5*'Maturity Rating'!$E$7,K5)))</f>
        <v>3</v>
      </c>
      <c r="M5" s="339"/>
      <c r="N5" s="339"/>
      <c r="O5" s="361"/>
      <c r="P5" s="27"/>
      <c r="S5" s="114">
        <f>VLOOKUP(G5,'Maturity Rating'!A$2:B$5,2,FALSE)</f>
        <v>3</v>
      </c>
      <c r="T5" s="114">
        <f>VLOOKUP(H5,'Maturity Rating'!A$8:B$11,2,FALSE)</f>
        <v>3</v>
      </c>
      <c r="U5" s="114">
        <f>VLOOKUP(I5,'Maturity Rating'!A$14:B$17,2,FALSE)</f>
        <v>3</v>
      </c>
      <c r="V5" s="114">
        <f>VLOOKUP(J5,'Maturity Rating'!A$20:B$23,2,FALSE)</f>
        <v>3</v>
      </c>
      <c r="W5" t="str">
        <f t="shared" ref="W5:W26" si="1">CONCATENATE(S5,T5,U5,V5)</f>
        <v>3333</v>
      </c>
    </row>
    <row r="6" spans="1:25" ht="29">
      <c r="A6" s="74">
        <v>3.3</v>
      </c>
      <c r="B6" s="345"/>
      <c r="C6" s="365"/>
      <c r="D6" s="257"/>
      <c r="E6" s="266" t="s">
        <v>93</v>
      </c>
      <c r="F6" s="257" t="s">
        <v>89</v>
      </c>
      <c r="G6" s="257" t="s">
        <v>118</v>
      </c>
      <c r="H6" s="99" t="s">
        <v>125</v>
      </c>
      <c r="I6" s="263" t="s">
        <v>101</v>
      </c>
      <c r="J6" s="263" t="s">
        <v>464</v>
      </c>
      <c r="K6" s="271">
        <f t="shared" si="0"/>
        <v>2.25</v>
      </c>
      <c r="L6" s="273">
        <f>IF(AND(D6="K",K6=1),'Maturity Rating'!$E$8,IF(K6="NA",K6,IF(D6="K",K6*'Maturity Rating'!$E$7,K6)))</f>
        <v>2.25</v>
      </c>
      <c r="M6" s="339"/>
      <c r="N6" s="339"/>
      <c r="O6" s="361"/>
      <c r="P6" s="27"/>
      <c r="Q6" s="27"/>
      <c r="S6" s="114">
        <f>VLOOKUP(G6,'Maturity Rating'!A$2:B$5,2,FALSE)</f>
        <v>3</v>
      </c>
      <c r="T6" s="114">
        <f>VLOOKUP(H6,'Maturity Rating'!A$8:B$11,2,FALSE)</f>
        <v>2</v>
      </c>
      <c r="U6" s="114">
        <f>VLOOKUP(I6,'Maturity Rating'!A$14:B$17,2,FALSE)</f>
        <v>2</v>
      </c>
      <c r="V6" s="114">
        <f>VLOOKUP(J6,'Maturity Rating'!A$20:B$23,2,FALSE)</f>
        <v>2</v>
      </c>
      <c r="W6" t="str">
        <f t="shared" si="1"/>
        <v>3222</v>
      </c>
    </row>
    <row r="7" spans="1:25" ht="29">
      <c r="A7" s="74">
        <v>3.4</v>
      </c>
      <c r="B7" s="345"/>
      <c r="C7" s="365"/>
      <c r="D7" s="257"/>
      <c r="E7" s="266" t="s">
        <v>168</v>
      </c>
      <c r="F7" s="257" t="s">
        <v>89</v>
      </c>
      <c r="G7" s="257" t="s">
        <v>118</v>
      </c>
      <c r="H7" s="99" t="s">
        <v>125</v>
      </c>
      <c r="I7" s="263" t="s">
        <v>120</v>
      </c>
      <c r="J7" s="263" t="s">
        <v>464</v>
      </c>
      <c r="K7" s="271">
        <f t="shared" si="0"/>
        <v>2.5</v>
      </c>
      <c r="L7" s="273">
        <f>IF(AND(D7="K",K7=1),'Maturity Rating'!$E$8,IF(K7="NA",K7,IF(D7="K",K7*'Maturity Rating'!$E$7,K7)))</f>
        <v>2.5</v>
      </c>
      <c r="M7" s="339"/>
      <c r="N7" s="339"/>
      <c r="O7" s="361"/>
      <c r="P7" s="27"/>
      <c r="Q7" s="27"/>
      <c r="S7" s="114">
        <f>VLOOKUP(G7,'Maturity Rating'!A$2:B$5,2,FALSE)</f>
        <v>3</v>
      </c>
      <c r="T7" s="114">
        <f>VLOOKUP(H7,'Maturity Rating'!A$8:B$11,2,FALSE)</f>
        <v>2</v>
      </c>
      <c r="U7" s="114">
        <f>VLOOKUP(I7,'Maturity Rating'!A$14:B$17,2,FALSE)</f>
        <v>3</v>
      </c>
      <c r="V7" s="114">
        <f>VLOOKUP(J7,'Maturity Rating'!A$20:B$23,2,FALSE)</f>
        <v>2</v>
      </c>
      <c r="W7" t="str">
        <f t="shared" si="1"/>
        <v>3232</v>
      </c>
    </row>
    <row r="8" spans="1:25" ht="15" thickBot="1">
      <c r="A8" s="75">
        <v>3.5</v>
      </c>
      <c r="B8" s="347"/>
      <c r="C8" s="367"/>
      <c r="D8" s="259"/>
      <c r="E8" s="276" t="s">
        <v>94</v>
      </c>
      <c r="F8" s="265" t="s">
        <v>89</v>
      </c>
      <c r="G8" s="263" t="s">
        <v>127</v>
      </c>
      <c r="H8" s="99" t="s">
        <v>95</v>
      </c>
      <c r="I8" s="99" t="s">
        <v>91</v>
      </c>
      <c r="J8" s="263" t="s">
        <v>91</v>
      </c>
      <c r="K8" s="272">
        <f t="shared" si="0"/>
        <v>1</v>
      </c>
      <c r="L8" s="271">
        <f>IF(AND(D8="K",K8=1),'Maturity Rating'!$E$8,IF(K8="NA",K8,IF(D8="K",K8*'Maturity Rating'!$E$7,K8)))</f>
        <v>1</v>
      </c>
      <c r="M8" s="340"/>
      <c r="N8" s="340"/>
      <c r="O8" s="362"/>
      <c r="P8" s="27"/>
      <c r="Q8" s="229"/>
      <c r="S8" s="114">
        <f>VLOOKUP(G8,'Maturity Rating'!A$2:B$5,2,FALSE)</f>
        <v>1</v>
      </c>
      <c r="T8" s="114">
        <f>VLOOKUP(H8,'Maturity Rating'!A$8:B$11,2,FALSE)</f>
        <v>1</v>
      </c>
      <c r="U8" s="114" t="str">
        <f>VLOOKUP(I8,'Maturity Rating'!A$14:B$17,2,FALSE)</f>
        <v>NA</v>
      </c>
      <c r="V8" s="114" t="str">
        <f>VLOOKUP(J8,'Maturity Rating'!A$20:B$23,2,FALSE)</f>
        <v>NA</v>
      </c>
      <c r="W8" t="str">
        <f t="shared" si="1"/>
        <v>11NANA</v>
      </c>
    </row>
    <row r="9" spans="1:25" ht="29">
      <c r="A9" s="36">
        <v>3.6</v>
      </c>
      <c r="B9" s="359" t="s">
        <v>169</v>
      </c>
      <c r="C9" s="368" t="s">
        <v>170</v>
      </c>
      <c r="D9" s="256"/>
      <c r="E9" s="280" t="s">
        <v>171</v>
      </c>
      <c r="F9" s="264" t="s">
        <v>105</v>
      </c>
      <c r="G9" s="264" t="s">
        <v>127</v>
      </c>
      <c r="H9" s="264" t="s">
        <v>95</v>
      </c>
      <c r="I9" s="125" t="s">
        <v>206</v>
      </c>
      <c r="J9" s="264" t="s">
        <v>102</v>
      </c>
      <c r="K9" s="278">
        <f t="shared" si="0"/>
        <v>1</v>
      </c>
      <c r="L9" s="260">
        <f>IF(AND(D9="K",K9=1),'Maturity Rating'!$E$8,IF(K9="NA",K9,IF(D9="K",K9*'Maturity Rating'!$E$7,K9)))</f>
        <v>1</v>
      </c>
      <c r="M9" s="338">
        <f>IF(X9="NANANANA",K9,AVERAGE(L9:L19))</f>
        <v>1.3075757575757576</v>
      </c>
      <c r="N9" s="338">
        <f>IF(M9&lt;1.1,1,IF(M9="NA",M9,(MIN(5,M9/3*5))))</f>
        <v>2.1792929292929295</v>
      </c>
      <c r="O9" s="363" t="str">
        <f>IF(N9="NA",N9,VLOOKUP(Q9,'Maturity Rating'!G4:H8,2,FALSE))</f>
        <v>Partial</v>
      </c>
      <c r="P9" s="27"/>
      <c r="Q9" s="27">
        <f>IF(N9="NA",N9,ROUNDDOWN(N9,0))</f>
        <v>2</v>
      </c>
      <c r="S9" s="114">
        <f>VLOOKUP(G9,'Maturity Rating'!A$2:B$5,2,FALSE)</f>
        <v>1</v>
      </c>
      <c r="T9" s="114">
        <f>VLOOKUP(H9,'Maturity Rating'!A$8:B$11,2,FALSE)</f>
        <v>1</v>
      </c>
      <c r="U9" s="114">
        <f>VLOOKUP(I9,'Maturity Rating'!A$14:B$17,2,FALSE)</f>
        <v>1</v>
      </c>
      <c r="V9" s="114">
        <f>VLOOKUP(J9,'Maturity Rating'!A$20:B$23,2,FALSE)</f>
        <v>1</v>
      </c>
      <c r="W9" t="str">
        <f t="shared" si="1"/>
        <v>1111</v>
      </c>
      <c r="X9" t="str">
        <f>CONCATENATE(L9,L10,L11,L12,L13,L14,L15,L16,L17,L18,L19)</f>
        <v>10.7511.333333333333331.81.251.2511.251.252.5</v>
      </c>
    </row>
    <row r="10" spans="1:25" ht="29">
      <c r="A10" s="74">
        <v>3.7</v>
      </c>
      <c r="B10" s="345"/>
      <c r="C10" s="365"/>
      <c r="D10" s="257" t="s">
        <v>87</v>
      </c>
      <c r="E10" s="110" t="s">
        <v>172</v>
      </c>
      <c r="F10" s="257" t="s">
        <v>105</v>
      </c>
      <c r="G10" s="257" t="s">
        <v>90</v>
      </c>
      <c r="H10" s="257" t="s">
        <v>95</v>
      </c>
      <c r="I10" s="55" t="s">
        <v>206</v>
      </c>
      <c r="J10" s="257" t="s">
        <v>102</v>
      </c>
      <c r="K10" s="271">
        <f t="shared" si="0"/>
        <v>0.625</v>
      </c>
      <c r="L10" s="273">
        <f>IF(AND(D10="K",K10=1),'Maturity Rating'!$E$8,IF(K10="NA",K10,IF(D10="K",K10*'Maturity Rating'!$E$7,K10)))</f>
        <v>0.75</v>
      </c>
      <c r="M10" s="339"/>
      <c r="N10" s="339"/>
      <c r="O10" s="361"/>
      <c r="P10" s="27"/>
      <c r="Q10" s="27"/>
      <c r="S10" s="114">
        <f>VLOOKUP(G10,'Maturity Rating'!A$2:B$5,2,FALSE)</f>
        <v>2</v>
      </c>
      <c r="T10" s="114">
        <f>VLOOKUP(H10,'Maturity Rating'!A$8:B$11,2,FALSE)</f>
        <v>1</v>
      </c>
      <c r="U10" s="114">
        <f>VLOOKUP(I10,'Maturity Rating'!A$14:B$17,2,FALSE)</f>
        <v>1</v>
      </c>
      <c r="V10" s="114">
        <f>VLOOKUP(J10,'Maturity Rating'!A$20:B$23,2,FALSE)</f>
        <v>1</v>
      </c>
      <c r="W10" t="str">
        <f t="shared" si="1"/>
        <v>2111</v>
      </c>
    </row>
    <row r="11" spans="1:25" ht="29">
      <c r="A11" s="74">
        <v>3.8</v>
      </c>
      <c r="B11" s="345"/>
      <c r="C11" s="365"/>
      <c r="D11" s="257"/>
      <c r="E11" s="266" t="s">
        <v>173</v>
      </c>
      <c r="F11" s="55" t="s">
        <v>89</v>
      </c>
      <c r="G11" s="55" t="s">
        <v>127</v>
      </c>
      <c r="H11" s="257" t="s">
        <v>95</v>
      </c>
      <c r="I11" s="55" t="s">
        <v>206</v>
      </c>
      <c r="J11" s="257" t="s">
        <v>102</v>
      </c>
      <c r="K11" s="271">
        <f t="shared" si="0"/>
        <v>1</v>
      </c>
      <c r="L11" s="273">
        <f>IF(AND(D11="K",K11=1),'Maturity Rating'!$E$8,IF(K11="NA",K11,IF(D11="K",K11*'Maturity Rating'!$E$7,K11)))</f>
        <v>1</v>
      </c>
      <c r="M11" s="339"/>
      <c r="N11" s="339"/>
      <c r="O11" s="361"/>
      <c r="P11" s="27"/>
      <c r="Q11" s="27"/>
      <c r="S11" s="114">
        <f>VLOOKUP(G11,'Maturity Rating'!A$2:B$5,2,FALSE)</f>
        <v>1</v>
      </c>
      <c r="T11" s="114">
        <f>VLOOKUP(H11,'Maturity Rating'!A$8:B$11,2,FALSE)</f>
        <v>1</v>
      </c>
      <c r="U11" s="114">
        <f>VLOOKUP(I11,'Maturity Rating'!A$14:B$17,2,FALSE)</f>
        <v>1</v>
      </c>
      <c r="V11" s="114">
        <f>VLOOKUP(J11,'Maturity Rating'!A$20:B$23,2,FALSE)</f>
        <v>1</v>
      </c>
      <c r="W11" t="str">
        <f t="shared" si="1"/>
        <v>1111</v>
      </c>
    </row>
    <row r="12" spans="1:25" ht="29">
      <c r="A12" s="74">
        <v>3.9</v>
      </c>
      <c r="B12" s="345"/>
      <c r="C12" s="365"/>
      <c r="D12" s="69"/>
      <c r="E12" s="266" t="s">
        <v>174</v>
      </c>
      <c r="F12" s="55" t="s">
        <v>105</v>
      </c>
      <c r="G12" s="55" t="s">
        <v>127</v>
      </c>
      <c r="H12" s="55" t="s">
        <v>125</v>
      </c>
      <c r="I12" s="55" t="s">
        <v>91</v>
      </c>
      <c r="J12" s="257" t="s">
        <v>102</v>
      </c>
      <c r="K12" s="271">
        <f t="shared" si="0"/>
        <v>1.3333333333333333</v>
      </c>
      <c r="L12" s="273">
        <f>IF(AND(D12="K",K12=1),'Maturity Rating'!$E$8,IF(K12="NA",K12,IF(D12="K",K12*'Maturity Rating'!$E$7,K12)))</f>
        <v>1.3333333333333333</v>
      </c>
      <c r="M12" s="339"/>
      <c r="N12" s="339"/>
      <c r="O12" s="361"/>
      <c r="P12" s="27"/>
      <c r="Q12" s="27"/>
      <c r="S12" s="114">
        <f>VLOOKUP(G12,'Maturity Rating'!A$2:B$5,2,FALSE)</f>
        <v>1</v>
      </c>
      <c r="T12" s="114">
        <f>VLOOKUP(H12,'Maturity Rating'!A$8:B$11,2,FALSE)</f>
        <v>2</v>
      </c>
      <c r="U12" s="114" t="str">
        <f>VLOOKUP(I12,'Maturity Rating'!A$14:B$17,2,FALSE)</f>
        <v>NA</v>
      </c>
      <c r="V12" s="114">
        <f>VLOOKUP(J12,'Maturity Rating'!A$20:B$23,2,FALSE)</f>
        <v>1</v>
      </c>
      <c r="W12" t="str">
        <f t="shared" si="1"/>
        <v>12NA1</v>
      </c>
    </row>
    <row r="13" spans="1:25" ht="29">
      <c r="A13" s="74" t="s">
        <v>175</v>
      </c>
      <c r="B13" s="345"/>
      <c r="C13" s="365"/>
      <c r="D13" s="257" t="s">
        <v>87</v>
      </c>
      <c r="E13" s="52" t="s">
        <v>176</v>
      </c>
      <c r="F13" s="55" t="s">
        <v>105</v>
      </c>
      <c r="G13" s="55" t="s">
        <v>90</v>
      </c>
      <c r="H13" s="55" t="s">
        <v>125</v>
      </c>
      <c r="I13" s="55" t="s">
        <v>206</v>
      </c>
      <c r="J13" s="257" t="s">
        <v>102</v>
      </c>
      <c r="K13" s="271">
        <f t="shared" si="0"/>
        <v>1.5</v>
      </c>
      <c r="L13" s="273">
        <f>IF(AND(D13="K",K13=1),'Maturity Rating'!$E$8,IF(K13="NA",K13,IF(D13="K",K13*'Maturity Rating'!$E$7,K13)))</f>
        <v>1.7999999999999998</v>
      </c>
      <c r="M13" s="339"/>
      <c r="N13" s="339"/>
      <c r="O13" s="361"/>
      <c r="P13" s="27"/>
      <c r="Q13" s="27"/>
      <c r="S13" s="114">
        <f>VLOOKUP(G13,'Maturity Rating'!A$2:B$5,2,FALSE)</f>
        <v>2</v>
      </c>
      <c r="T13" s="114">
        <f>VLOOKUP(H13,'Maturity Rating'!A$8:B$11,2,FALSE)</f>
        <v>2</v>
      </c>
      <c r="U13" s="114">
        <f>VLOOKUP(I13,'Maturity Rating'!A$14:B$17,2,FALSE)</f>
        <v>1</v>
      </c>
      <c r="V13" s="114">
        <f>VLOOKUP(J13,'Maturity Rating'!A$20:B$23,2,FALSE)</f>
        <v>1</v>
      </c>
      <c r="W13" t="str">
        <f t="shared" si="1"/>
        <v>2211</v>
      </c>
    </row>
    <row r="14" spans="1:25" ht="29">
      <c r="A14" s="74">
        <v>3.11</v>
      </c>
      <c r="B14" s="345"/>
      <c r="C14" s="365"/>
      <c r="D14" s="257"/>
      <c r="E14" s="266" t="s">
        <v>177</v>
      </c>
      <c r="F14" s="55" t="s">
        <v>105</v>
      </c>
      <c r="G14" s="55" t="s">
        <v>127</v>
      </c>
      <c r="H14" s="55" t="s">
        <v>125</v>
      </c>
      <c r="I14" s="55" t="s">
        <v>206</v>
      </c>
      <c r="J14" s="257" t="s">
        <v>102</v>
      </c>
      <c r="K14" s="271">
        <f t="shared" si="0"/>
        <v>1.25</v>
      </c>
      <c r="L14" s="273">
        <f>IF(AND(D14="K",K14=1),'Maturity Rating'!$E$8,IF(K14="NA",K14,IF(D14="K",K14*'Maturity Rating'!$E$7,K14)))</f>
        <v>1.25</v>
      </c>
      <c r="M14" s="339"/>
      <c r="N14" s="339"/>
      <c r="O14" s="361"/>
      <c r="P14" s="27"/>
      <c r="Q14" s="27"/>
      <c r="S14" s="114">
        <f>VLOOKUP(G14,'Maturity Rating'!A$2:B$5,2,FALSE)</f>
        <v>1</v>
      </c>
      <c r="T14" s="114">
        <f>VLOOKUP(H14,'Maturity Rating'!A$8:B$11,2,FALSE)</f>
        <v>2</v>
      </c>
      <c r="U14" s="114">
        <f>VLOOKUP(I14,'Maturity Rating'!A$14:B$17,2,FALSE)</f>
        <v>1</v>
      </c>
      <c r="V14" s="114">
        <f>VLOOKUP(J14,'Maturity Rating'!A$20:B$23,2,FALSE)</f>
        <v>1</v>
      </c>
      <c r="W14" t="str">
        <f t="shared" si="1"/>
        <v>1211</v>
      </c>
    </row>
    <row r="15" spans="1:25" ht="29">
      <c r="A15" s="74">
        <v>3.12</v>
      </c>
      <c r="B15" s="345"/>
      <c r="C15" s="365"/>
      <c r="D15" s="257"/>
      <c r="E15" s="266" t="s">
        <v>178</v>
      </c>
      <c r="F15" s="55" t="s">
        <v>89</v>
      </c>
      <c r="G15" s="55" t="s">
        <v>127</v>
      </c>
      <c r="H15" s="55" t="s">
        <v>125</v>
      </c>
      <c r="I15" s="55" t="s">
        <v>206</v>
      </c>
      <c r="J15" s="257" t="s">
        <v>102</v>
      </c>
      <c r="K15" s="271">
        <f t="shared" si="0"/>
        <v>1.25</v>
      </c>
      <c r="L15" s="273">
        <f>IF(AND(D15="K",K15=1),'Maturity Rating'!$E$8,IF(K15="NA",K15,IF(D15="K",K15*'Maturity Rating'!$E$7,K15)))</f>
        <v>1.25</v>
      </c>
      <c r="M15" s="339"/>
      <c r="N15" s="339"/>
      <c r="O15" s="361"/>
      <c r="P15" s="27"/>
      <c r="Q15" s="27"/>
      <c r="S15" s="114">
        <f>VLOOKUP(G15,'Maturity Rating'!A$2:B$5,2,FALSE)</f>
        <v>1</v>
      </c>
      <c r="T15" s="114">
        <f>VLOOKUP(H15,'Maturity Rating'!A$8:B$11,2,FALSE)</f>
        <v>2</v>
      </c>
      <c r="U15" s="114">
        <f>VLOOKUP(I15,'Maturity Rating'!A$14:B$17,2,FALSE)</f>
        <v>1</v>
      </c>
      <c r="V15" s="114">
        <f>VLOOKUP(J15,'Maturity Rating'!A$20:B$23,2,FALSE)</f>
        <v>1</v>
      </c>
      <c r="W15" t="str">
        <f t="shared" si="1"/>
        <v>1211</v>
      </c>
    </row>
    <row r="16" spans="1:25" ht="29">
      <c r="A16" s="74">
        <v>3.13</v>
      </c>
      <c r="B16" s="345"/>
      <c r="C16" s="365"/>
      <c r="D16" s="257"/>
      <c r="E16" s="266" t="s">
        <v>179</v>
      </c>
      <c r="F16" s="55" t="s">
        <v>105</v>
      </c>
      <c r="G16" s="55" t="s">
        <v>127</v>
      </c>
      <c r="H16" s="55" t="s">
        <v>95</v>
      </c>
      <c r="I16" s="55" t="s">
        <v>206</v>
      </c>
      <c r="J16" s="257" t="s">
        <v>102</v>
      </c>
      <c r="K16" s="271">
        <f t="shared" si="0"/>
        <v>1</v>
      </c>
      <c r="L16" s="273">
        <f>IF(AND(D16="K",K16=1),'Maturity Rating'!$E$8,IF(K16="NA",K16,IF(D16="K",K16*'Maturity Rating'!$E$7,K16)))</f>
        <v>1</v>
      </c>
      <c r="M16" s="339"/>
      <c r="N16" s="339"/>
      <c r="O16" s="361"/>
      <c r="P16" s="27"/>
      <c r="Q16" s="229"/>
      <c r="S16" s="114">
        <f>VLOOKUP(G16,'Maturity Rating'!A$2:B$5,2,FALSE)</f>
        <v>1</v>
      </c>
      <c r="T16" s="114">
        <f>VLOOKUP(H16,'Maturity Rating'!A$8:B$11,2,FALSE)</f>
        <v>1</v>
      </c>
      <c r="U16" s="114">
        <f>VLOOKUP(I16,'Maturity Rating'!A$14:B$17,2,FALSE)</f>
        <v>1</v>
      </c>
      <c r="V16" s="114">
        <f>VLOOKUP(J16,'Maturity Rating'!A$20:B$23,2,FALSE)</f>
        <v>1</v>
      </c>
      <c r="W16" t="str">
        <f t="shared" si="1"/>
        <v>1111</v>
      </c>
    </row>
    <row r="17" spans="1:24" ht="29">
      <c r="A17" s="74">
        <v>3.14</v>
      </c>
      <c r="B17" s="345"/>
      <c r="C17" s="365"/>
      <c r="D17" s="257"/>
      <c r="E17" s="266" t="s">
        <v>180</v>
      </c>
      <c r="F17" s="55" t="s">
        <v>89</v>
      </c>
      <c r="G17" s="55" t="s">
        <v>127</v>
      </c>
      <c r="H17" s="55" t="s">
        <v>125</v>
      </c>
      <c r="I17" s="55" t="s">
        <v>206</v>
      </c>
      <c r="J17" s="257" t="s">
        <v>102</v>
      </c>
      <c r="K17" s="271">
        <f t="shared" si="0"/>
        <v>1.25</v>
      </c>
      <c r="L17" s="273">
        <f>IF(AND(D17="K",K17=1),'Maturity Rating'!$E$8,IF(K17="NA",K17,IF(D17="K",K17*'Maturity Rating'!$E$7,K17)))</f>
        <v>1.25</v>
      </c>
      <c r="M17" s="339"/>
      <c r="N17" s="339"/>
      <c r="O17" s="361"/>
      <c r="P17" s="27"/>
      <c r="Q17" s="27"/>
      <c r="S17" s="114">
        <f>VLOOKUP(G17,'Maturity Rating'!A$2:B$5,2,FALSE)</f>
        <v>1</v>
      </c>
      <c r="T17" s="114">
        <f>VLOOKUP(H17,'Maturity Rating'!A$8:B$11,2,FALSE)</f>
        <v>2</v>
      </c>
      <c r="U17" s="114">
        <f>VLOOKUP(I17,'Maturity Rating'!A$14:B$17,2,FALSE)</f>
        <v>1</v>
      </c>
      <c r="V17" s="114">
        <f>VLOOKUP(J17,'Maturity Rating'!A$20:B$23,2,FALSE)</f>
        <v>1</v>
      </c>
      <c r="W17" t="str">
        <f t="shared" si="1"/>
        <v>1211</v>
      </c>
    </row>
    <row r="18" spans="1:24" ht="29">
      <c r="A18" s="74">
        <v>3.15</v>
      </c>
      <c r="B18" s="345"/>
      <c r="C18" s="365"/>
      <c r="D18" s="257"/>
      <c r="E18" s="28" t="s">
        <v>181</v>
      </c>
      <c r="F18" s="55" t="s">
        <v>89</v>
      </c>
      <c r="G18" s="55" t="s">
        <v>127</v>
      </c>
      <c r="H18" s="55" t="s">
        <v>125</v>
      </c>
      <c r="I18" s="55" t="s">
        <v>206</v>
      </c>
      <c r="J18" s="257" t="s">
        <v>102</v>
      </c>
      <c r="K18" s="271">
        <f t="shared" si="0"/>
        <v>1.25</v>
      </c>
      <c r="L18" s="273">
        <f>IF(AND(D18="K",K18=1),'Maturity Rating'!$E$8,IF(K18="NA",K18,IF(D18="K",K18*'Maturity Rating'!$E$7,K18)))</f>
        <v>1.25</v>
      </c>
      <c r="M18" s="339"/>
      <c r="N18" s="339"/>
      <c r="O18" s="361"/>
      <c r="P18" s="27"/>
      <c r="Q18" s="27"/>
      <c r="S18" s="114">
        <f>VLOOKUP(G18,'Maturity Rating'!A$2:B$5,2,FALSE)</f>
        <v>1</v>
      </c>
      <c r="T18" s="114">
        <f>VLOOKUP(H18,'Maturity Rating'!A$8:B$11,2,FALSE)</f>
        <v>2</v>
      </c>
      <c r="U18" s="114">
        <f>VLOOKUP(I18,'Maturity Rating'!A$14:B$17,2,FALSE)</f>
        <v>1</v>
      </c>
      <c r="V18" s="114">
        <f>VLOOKUP(J18,'Maturity Rating'!A$20:B$23,2,FALSE)</f>
        <v>1</v>
      </c>
      <c r="W18" t="str">
        <f t="shared" si="1"/>
        <v>1211</v>
      </c>
    </row>
    <row r="19" spans="1:24" ht="29.5" thickBot="1">
      <c r="A19" s="75">
        <v>3.16</v>
      </c>
      <c r="B19" s="347"/>
      <c r="C19" s="367"/>
      <c r="D19" s="70"/>
      <c r="E19" s="276" t="s">
        <v>182</v>
      </c>
      <c r="F19" s="96" t="s">
        <v>89</v>
      </c>
      <c r="G19" s="96" t="s">
        <v>118</v>
      </c>
      <c r="H19" s="96" t="s">
        <v>100</v>
      </c>
      <c r="I19" s="96" t="s">
        <v>120</v>
      </c>
      <c r="J19" s="96" t="s">
        <v>102</v>
      </c>
      <c r="K19" s="272">
        <f t="shared" si="0"/>
        <v>2.5</v>
      </c>
      <c r="L19" s="262">
        <f>IF(AND(D19="K",K19=1),'Maturity Rating'!$E$8,IF(K19="NA",K19,IF(D19="K",K19*'Maturity Rating'!$E$7,K19)))</f>
        <v>2.5</v>
      </c>
      <c r="M19" s="340"/>
      <c r="N19" s="340"/>
      <c r="O19" s="362"/>
      <c r="P19" s="27"/>
      <c r="Q19" s="27"/>
      <c r="S19" s="114">
        <f>VLOOKUP(G19,'Maturity Rating'!A$2:B$5,2,FALSE)</f>
        <v>3</v>
      </c>
      <c r="T19" s="114">
        <f>VLOOKUP(H19,'Maturity Rating'!A$8:B$11,2,FALSE)</f>
        <v>3</v>
      </c>
      <c r="U19" s="114">
        <f>VLOOKUP(I19,'Maturity Rating'!A$14:B$17,2,FALSE)</f>
        <v>3</v>
      </c>
      <c r="V19" s="114">
        <f>VLOOKUP(J19,'Maturity Rating'!A$20:B$23,2,FALSE)</f>
        <v>1</v>
      </c>
      <c r="W19" t="str">
        <f t="shared" si="1"/>
        <v>3331</v>
      </c>
    </row>
    <row r="20" spans="1:24" ht="29">
      <c r="A20" s="93">
        <v>3.17</v>
      </c>
      <c r="B20" s="344" t="s">
        <v>183</v>
      </c>
      <c r="C20" s="364" t="s">
        <v>184</v>
      </c>
      <c r="D20" s="263"/>
      <c r="E20" s="279" t="s">
        <v>185</v>
      </c>
      <c r="F20" s="263" t="s">
        <v>89</v>
      </c>
      <c r="G20" s="263" t="s">
        <v>127</v>
      </c>
      <c r="H20" s="99" t="s">
        <v>125</v>
      </c>
      <c r="I20" s="99" t="s">
        <v>120</v>
      </c>
      <c r="J20" s="263" t="s">
        <v>102</v>
      </c>
      <c r="K20" s="271">
        <f t="shared" ref="K20:K26" si="2">IF(W20="NANANANA",S20,AVERAGE(S20:V20))</f>
        <v>1.75</v>
      </c>
      <c r="L20" s="271">
        <f>IF(AND(D20="K",K20=1),'Maturity Rating'!$E$8,IF(K20="NA",K20,IF(D20="K",K20*'Maturity Rating'!$E$7,K20)))</f>
        <v>1.75</v>
      </c>
      <c r="M20" s="339">
        <f>IF(X20="NANANANANANANA",K20,AVERAGE(L20:L26))</f>
        <v>1.2142857142857142</v>
      </c>
      <c r="N20" s="339">
        <f>IF(M20&lt;1.1,1,IF(M20="NA",M20,(MIN(5,M20/3*5))))</f>
        <v>2.0238095238095237</v>
      </c>
      <c r="O20" s="361" t="s">
        <v>186</v>
      </c>
      <c r="P20" s="27"/>
      <c r="Q20" s="27"/>
      <c r="S20" s="114">
        <f>VLOOKUP(G20,'Maturity Rating'!A$2:B$5,2,FALSE)</f>
        <v>1</v>
      </c>
      <c r="T20" s="114">
        <f>VLOOKUP(H20,'Maturity Rating'!A$8:B$11,2,FALSE)</f>
        <v>2</v>
      </c>
      <c r="U20" s="114">
        <f>VLOOKUP(I20,'Maturity Rating'!A$14:B$17,2,FALSE)</f>
        <v>3</v>
      </c>
      <c r="V20" s="114">
        <f>VLOOKUP(J20,'Maturity Rating'!A$20:B$23,2,FALSE)</f>
        <v>1</v>
      </c>
      <c r="W20" t="str">
        <f t="shared" si="1"/>
        <v>1231</v>
      </c>
      <c r="X20" t="str">
        <f>CONCATENATE(L20,L21,L22,L23,L24,L25,L26)</f>
        <v>1.75111111.75</v>
      </c>
    </row>
    <row r="21" spans="1:24" ht="29">
      <c r="A21" s="74">
        <v>3.18</v>
      </c>
      <c r="B21" s="345"/>
      <c r="C21" s="365"/>
      <c r="D21" s="257"/>
      <c r="E21" s="266" t="s">
        <v>187</v>
      </c>
      <c r="F21" s="257" t="s">
        <v>89</v>
      </c>
      <c r="G21" s="257" t="s">
        <v>127</v>
      </c>
      <c r="H21" s="257" t="s">
        <v>95</v>
      </c>
      <c r="I21" s="55" t="s">
        <v>206</v>
      </c>
      <c r="J21" s="257" t="s">
        <v>102</v>
      </c>
      <c r="K21" s="273">
        <f t="shared" si="2"/>
        <v>1</v>
      </c>
      <c r="L21" s="273">
        <f>IF(AND(D21="K",K21=1),'Maturity Rating'!$E$8,IF(K21="NA",K21,IF(D21="K",K21*'Maturity Rating'!$E$7,K21)))</f>
        <v>1</v>
      </c>
      <c r="M21" s="339"/>
      <c r="N21" s="339"/>
      <c r="O21" s="361"/>
      <c r="P21" s="27"/>
      <c r="Q21" s="27"/>
      <c r="S21" s="114">
        <f>VLOOKUP(G21,'Maturity Rating'!A$2:B$5,2,FALSE)</f>
        <v>1</v>
      </c>
      <c r="T21" s="114">
        <f>VLOOKUP(H21,'Maturity Rating'!A$8:B$11,2,FALSE)</f>
        <v>1</v>
      </c>
      <c r="U21" s="114">
        <f>VLOOKUP(I21,'Maturity Rating'!A$14:B$17,2,FALSE)</f>
        <v>1</v>
      </c>
      <c r="V21" s="114">
        <f>VLOOKUP(J21,'Maturity Rating'!A$20:B$23,2,FALSE)</f>
        <v>1</v>
      </c>
      <c r="W21" t="str">
        <f t="shared" si="1"/>
        <v>1111</v>
      </c>
    </row>
    <row r="22" spans="1:24" ht="29">
      <c r="A22" s="74">
        <v>3.19</v>
      </c>
      <c r="B22" s="345"/>
      <c r="C22" s="365"/>
      <c r="D22" s="257"/>
      <c r="E22" s="266" t="s">
        <v>188</v>
      </c>
      <c r="F22" s="55" t="s">
        <v>89</v>
      </c>
      <c r="G22" s="55" t="s">
        <v>127</v>
      </c>
      <c r="H22" s="257" t="s">
        <v>95</v>
      </c>
      <c r="I22" s="55" t="s">
        <v>206</v>
      </c>
      <c r="J22" s="257" t="s">
        <v>102</v>
      </c>
      <c r="K22" s="273">
        <f t="shared" si="2"/>
        <v>1</v>
      </c>
      <c r="L22" s="273">
        <f>IF(AND(D22="K",K22=1),'Maturity Rating'!$E$8,IF(K22="NA",K22,IF(D22="K",K22*'Maturity Rating'!$E$7,K22)))</f>
        <v>1</v>
      </c>
      <c r="M22" s="339"/>
      <c r="N22" s="339"/>
      <c r="O22" s="361"/>
      <c r="P22" s="27"/>
      <c r="Q22" s="27"/>
      <c r="S22" s="114">
        <f>VLOOKUP(G22,'Maturity Rating'!A$2:B$5,2,FALSE)</f>
        <v>1</v>
      </c>
      <c r="T22" s="114">
        <f>VLOOKUP(H22,'Maturity Rating'!A$8:B$11,2,FALSE)</f>
        <v>1</v>
      </c>
      <c r="U22" s="114">
        <f>VLOOKUP(I22,'Maturity Rating'!A$14:B$17,2,FALSE)</f>
        <v>1</v>
      </c>
      <c r="V22" s="114">
        <f>VLOOKUP(J22,'Maturity Rating'!A$20:B$23,2,FALSE)</f>
        <v>1</v>
      </c>
      <c r="W22" t="str">
        <f t="shared" si="1"/>
        <v>1111</v>
      </c>
    </row>
    <row r="23" spans="1:24" ht="29">
      <c r="A23" s="74" t="s">
        <v>189</v>
      </c>
      <c r="B23" s="345"/>
      <c r="C23" s="365"/>
      <c r="D23" s="257"/>
      <c r="E23" s="266" t="s">
        <v>190</v>
      </c>
      <c r="F23" s="55" t="s">
        <v>89</v>
      </c>
      <c r="G23" s="55" t="s">
        <v>127</v>
      </c>
      <c r="H23" s="257" t="s">
        <v>95</v>
      </c>
      <c r="I23" s="55" t="s">
        <v>206</v>
      </c>
      <c r="J23" s="257" t="s">
        <v>102</v>
      </c>
      <c r="K23" s="273">
        <f t="shared" si="2"/>
        <v>1</v>
      </c>
      <c r="L23" s="273">
        <f>IF(AND(D23="K",K23=1),'Maturity Rating'!$E$8,IF(K23="NA",K23,IF(D23="K",K23*'Maturity Rating'!$E$7,K23)))</f>
        <v>1</v>
      </c>
      <c r="M23" s="339"/>
      <c r="N23" s="339"/>
      <c r="O23" s="361"/>
      <c r="P23" s="27"/>
      <c r="Q23" s="27"/>
      <c r="S23" s="114">
        <f>VLOOKUP(G23,'Maturity Rating'!A$2:B$5,2,FALSE)</f>
        <v>1</v>
      </c>
      <c r="T23" s="114">
        <f>VLOOKUP(H23,'Maturity Rating'!A$8:B$11,2,FALSE)</f>
        <v>1</v>
      </c>
      <c r="U23" s="114">
        <f>VLOOKUP(I23,'Maturity Rating'!A$14:B$17,2,FALSE)</f>
        <v>1</v>
      </c>
      <c r="V23" s="114">
        <f>VLOOKUP(J23,'Maturity Rating'!A$20:B$23,2,FALSE)</f>
        <v>1</v>
      </c>
      <c r="W23" t="str">
        <f t="shared" si="1"/>
        <v>1111</v>
      </c>
    </row>
    <row r="24" spans="1:24" ht="29">
      <c r="A24" s="100">
        <v>3.21</v>
      </c>
      <c r="B24" s="346"/>
      <c r="C24" s="366"/>
      <c r="D24" s="258"/>
      <c r="E24" s="266" t="s">
        <v>191</v>
      </c>
      <c r="F24" s="55" t="s">
        <v>89</v>
      </c>
      <c r="G24" s="55" t="s">
        <v>127</v>
      </c>
      <c r="H24" s="55" t="s">
        <v>95</v>
      </c>
      <c r="I24" s="55" t="s">
        <v>206</v>
      </c>
      <c r="J24" s="55" t="s">
        <v>102</v>
      </c>
      <c r="K24" s="273">
        <f t="shared" si="2"/>
        <v>1</v>
      </c>
      <c r="L24" s="273">
        <f>IF(AND(D24="K",K24=1),'Maturity Rating'!$E$8,IF(K24="NA",K24,IF(D24="K",K24*'Maturity Rating'!$E$7,K24)))</f>
        <v>1</v>
      </c>
      <c r="M24" s="339"/>
      <c r="N24" s="339"/>
      <c r="O24" s="361"/>
      <c r="P24" s="27"/>
      <c r="Q24" s="27"/>
      <c r="S24" s="114">
        <f>VLOOKUP(G24,'Maturity Rating'!A$2:B$5,2,FALSE)</f>
        <v>1</v>
      </c>
      <c r="T24" s="114">
        <f>VLOOKUP(H24,'Maturity Rating'!A$8:B$11,2,FALSE)</f>
        <v>1</v>
      </c>
      <c r="U24" s="114">
        <f>VLOOKUP(I24,'Maturity Rating'!A$14:B$17,2,FALSE)</f>
        <v>1</v>
      </c>
      <c r="V24" s="114">
        <f>VLOOKUP(J24,'Maturity Rating'!A$20:B$23,2,FALSE)</f>
        <v>1</v>
      </c>
      <c r="W24" t="str">
        <f t="shared" si="1"/>
        <v>1111</v>
      </c>
    </row>
    <row r="25" spans="1:24" ht="29">
      <c r="A25" s="100">
        <v>3.22</v>
      </c>
      <c r="B25" s="346"/>
      <c r="C25" s="366"/>
      <c r="D25" s="258"/>
      <c r="E25" s="266" t="s">
        <v>192</v>
      </c>
      <c r="F25" s="55" t="s">
        <v>89</v>
      </c>
      <c r="G25" s="55" t="s">
        <v>127</v>
      </c>
      <c r="H25" s="55" t="s">
        <v>95</v>
      </c>
      <c r="I25" s="55" t="s">
        <v>206</v>
      </c>
      <c r="J25" s="55" t="s">
        <v>102</v>
      </c>
      <c r="K25" s="273">
        <f t="shared" si="2"/>
        <v>1</v>
      </c>
      <c r="L25" s="273">
        <f>IF(AND(D25="K",K25=1),'Maturity Rating'!$E$8,IF(K25="NA",K25,IF(D25="K",K25*'Maturity Rating'!$E$7,K25)))</f>
        <v>1</v>
      </c>
      <c r="M25" s="339"/>
      <c r="N25" s="339"/>
      <c r="O25" s="361"/>
      <c r="P25" s="27"/>
      <c r="Q25" s="27"/>
      <c r="S25" s="114">
        <f>VLOOKUP(G25,'Maturity Rating'!A$2:B$5,2,FALSE)</f>
        <v>1</v>
      </c>
      <c r="T25" s="114">
        <f>VLOOKUP(H25,'Maturity Rating'!A$8:B$11,2,FALSE)</f>
        <v>1</v>
      </c>
      <c r="U25" s="114">
        <f>VLOOKUP(I25,'Maturity Rating'!A$14:B$17,2,FALSE)</f>
        <v>1</v>
      </c>
      <c r="V25" s="114">
        <f>VLOOKUP(J25,'Maturity Rating'!A$20:B$23,2,FALSE)</f>
        <v>1</v>
      </c>
      <c r="W25" t="str">
        <f t="shared" ref="W25" si="3">CONCATENATE(S25,T25,U25,V25)</f>
        <v>1111</v>
      </c>
    </row>
    <row r="26" spans="1:24" ht="29.5" thickBot="1">
      <c r="A26" s="75">
        <v>3.23</v>
      </c>
      <c r="B26" s="347"/>
      <c r="C26" s="367"/>
      <c r="D26" s="259"/>
      <c r="E26" s="276" t="s">
        <v>193</v>
      </c>
      <c r="F26" s="96" t="s">
        <v>89</v>
      </c>
      <c r="G26" s="96" t="s">
        <v>90</v>
      </c>
      <c r="H26" s="96" t="s">
        <v>125</v>
      </c>
      <c r="I26" s="96" t="s">
        <v>101</v>
      </c>
      <c r="J26" s="96" t="s">
        <v>102</v>
      </c>
      <c r="K26" s="272">
        <f t="shared" si="2"/>
        <v>1.75</v>
      </c>
      <c r="L26" s="272">
        <f>IF(AND(D26="K",K26=1),'Maturity Rating'!$E$8,IF(K26="NA",K26,IF(D26="K",K26*'Maturity Rating'!$E$7,K26)))</f>
        <v>1.75</v>
      </c>
      <c r="M26" s="340"/>
      <c r="N26" s="340"/>
      <c r="O26" s="362"/>
      <c r="P26" s="27"/>
      <c r="Q26" s="27"/>
      <c r="S26" s="114">
        <f>VLOOKUP(G26,'Maturity Rating'!A$2:B$5,2,FALSE)</f>
        <v>2</v>
      </c>
      <c r="T26" s="114">
        <f>VLOOKUP(H26,'Maturity Rating'!A$8:B$11,2,FALSE)</f>
        <v>2</v>
      </c>
      <c r="U26" s="114">
        <f>VLOOKUP(I26,'Maturity Rating'!A$14:B$17,2,FALSE)</f>
        <v>2</v>
      </c>
      <c r="V26" s="114">
        <f>VLOOKUP(J26,'Maturity Rating'!A$20:B$23,2,FALSE)</f>
        <v>1</v>
      </c>
      <c r="W26" t="str">
        <f t="shared" si="1"/>
        <v>2221</v>
      </c>
    </row>
  </sheetData>
  <mergeCells count="16">
    <mergeCell ref="C1:D1"/>
    <mergeCell ref="B20:B26"/>
    <mergeCell ref="C20:C26"/>
    <mergeCell ref="B4:B8"/>
    <mergeCell ref="B9:B19"/>
    <mergeCell ref="C9:C19"/>
    <mergeCell ref="C4:C8"/>
    <mergeCell ref="N20:N26"/>
    <mergeCell ref="M4:M8"/>
    <mergeCell ref="M9:M19"/>
    <mergeCell ref="M20:M26"/>
    <mergeCell ref="O20:O26"/>
    <mergeCell ref="N4:N8"/>
    <mergeCell ref="O4:O8"/>
    <mergeCell ref="N9:N19"/>
    <mergeCell ref="O9:O19"/>
  </mergeCells>
  <pageMargins left="0.7" right="0.7" top="0.75" bottom="0.75" header="0.3" footer="0.3"/>
  <pageSetup paperSize="9" orientation="portrait" r:id="rId1"/>
  <ignoredErrors>
    <ignoredError sqref="E1:F1 K5:O19 K4:L4 N4:O4 K21:O26 K20:M20 N20:O20" evalError="1"/>
  </ignoredErrors>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600-000000000000}">
          <x14:formula1>
            <xm:f>'Maturity Rating'!$A$8:$A$11</xm:f>
          </x14:formula1>
          <xm:sqref>H4:H26</xm:sqref>
        </x14:dataValidation>
        <x14:dataValidation type="list" allowBlank="1" showInputMessage="1" showErrorMessage="1" xr:uid="{00000000-0002-0000-0600-000001000000}">
          <x14:formula1>
            <xm:f>'Maturity Rating'!$A$20:$A$23</xm:f>
          </x14:formula1>
          <xm:sqref>J4:J26</xm:sqref>
        </x14:dataValidation>
        <x14:dataValidation type="list" allowBlank="1" showInputMessage="1" showErrorMessage="1" xr:uid="{00000000-0002-0000-0600-000002000000}">
          <x14:formula1>
            <xm:f>'Maturity Rating'!$A$14:$A$17</xm:f>
          </x14:formula1>
          <xm:sqref>I4:I26</xm:sqref>
        </x14:dataValidation>
        <x14:dataValidation type="list" allowBlank="1" showInputMessage="1" showErrorMessage="1" xr:uid="{00000000-0002-0000-0600-000003000000}">
          <x14:formula1>
            <xm:f>'Maturity Rating'!$A$2:$A$5</xm:f>
          </x14:formula1>
          <xm:sqref>G4:G26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2"/>
  </sheetPr>
  <dimension ref="A1:AQ23"/>
  <sheetViews>
    <sheetView showGridLines="0" zoomScale="54" zoomScaleNormal="70" workbookViewId="0">
      <selection activeCell="E20" sqref="E20"/>
    </sheetView>
  </sheetViews>
  <sheetFormatPr defaultColWidth="9.08984375" defaultRowHeight="14.5"/>
  <cols>
    <col min="1" max="1" width="6.453125" style="22" customWidth="1"/>
    <col min="2" max="2" width="23.08984375" style="24" customWidth="1"/>
    <col min="3" max="3" width="34.90625" style="25" customWidth="1"/>
    <col min="4" max="4" width="25" style="25" bestFit="1" customWidth="1"/>
    <col min="5" max="5" width="79.1796875" style="24" customWidth="1"/>
    <col min="6" max="6" width="31.36328125" style="24" bestFit="1" customWidth="1"/>
    <col min="7" max="10" width="20.6328125" style="62" customWidth="1"/>
    <col min="11" max="11" width="13.6328125" style="24" bestFit="1" customWidth="1"/>
    <col min="12" max="12" width="26.36328125" style="24" customWidth="1"/>
    <col min="13" max="13" width="18.81640625" style="24" customWidth="1"/>
    <col min="14" max="14" width="20.90625" style="24" customWidth="1"/>
    <col min="15" max="15" width="13.6328125" style="24" customWidth="1"/>
    <col min="16" max="16" width="3.36328125" customWidth="1"/>
    <col min="17" max="17" width="3.90625" style="236" hidden="1" customWidth="1"/>
    <col min="18" max="18" width="3.6328125" hidden="1" customWidth="1"/>
    <col min="19" max="19" width="3.6328125" style="189" hidden="1" customWidth="1"/>
    <col min="20" max="20" width="5.1796875" style="189" hidden="1" customWidth="1"/>
    <col min="21" max="21" width="6" style="189" hidden="1" customWidth="1"/>
    <col min="22" max="22" width="6.453125" style="189" hidden="1" customWidth="1"/>
    <col min="23" max="23" width="8.1796875" hidden="1" customWidth="1"/>
    <col min="24" max="24" width="6.453125" hidden="1" customWidth="1"/>
    <col min="25" max="25" width="8.54296875" customWidth="1"/>
    <col min="26" max="16384" width="9.08984375" style="24"/>
  </cols>
  <sheetData>
    <row r="1" spans="1:43" ht="22.5" customHeight="1" thickBot="1">
      <c r="C1" s="353" t="s">
        <v>66</v>
      </c>
      <c r="D1" s="354"/>
      <c r="E1" s="45" t="str">
        <f>IF(F1="NA","Not Applicable",VLOOKUP(T1,'Maturity Rating'!G4:H8,2,FALSE))</f>
        <v>Repeatable</v>
      </c>
      <c r="F1" s="46">
        <f>IF(U1="NANANA","NA",AVERAGE(N4:N23))</f>
        <v>4.7861111111111114</v>
      </c>
      <c r="G1" s="22"/>
      <c r="I1" s="22"/>
      <c r="K1" s="84"/>
      <c r="Q1" s="234"/>
      <c r="S1"/>
      <c r="T1" s="235">
        <f>ROUNDDOWN(F1,0)</f>
        <v>4</v>
      </c>
      <c r="U1" s="228" t="str">
        <f>CONCATENATE(N4,N9,N11)</f>
        <v>554.35833333333333</v>
      </c>
      <c r="V1"/>
    </row>
    <row r="2" spans="1:43" ht="15" thickBot="1"/>
    <row r="3" spans="1:43" s="124" customFormat="1" ht="29.5" thickBot="1">
      <c r="A3" s="88" t="s">
        <v>2</v>
      </c>
      <c r="B3" s="81" t="s">
        <v>67</v>
      </c>
      <c r="C3" s="81" t="s">
        <v>68</v>
      </c>
      <c r="D3" s="81" t="s">
        <v>69</v>
      </c>
      <c r="E3" s="81" t="s">
        <v>70</v>
      </c>
      <c r="F3" s="81" t="s">
        <v>71</v>
      </c>
      <c r="G3" s="81" t="s">
        <v>72</v>
      </c>
      <c r="H3" s="81" t="s">
        <v>73</v>
      </c>
      <c r="I3" s="81" t="s">
        <v>74</v>
      </c>
      <c r="J3" s="81" t="s">
        <v>75</v>
      </c>
      <c r="K3" s="81" t="s">
        <v>76</v>
      </c>
      <c r="L3" s="81" t="s">
        <v>77</v>
      </c>
      <c r="M3" s="81" t="s">
        <v>78</v>
      </c>
      <c r="N3" s="81" t="s">
        <v>79</v>
      </c>
      <c r="O3" s="89" t="s">
        <v>80</v>
      </c>
      <c r="P3"/>
      <c r="Q3" s="236"/>
      <c r="R3"/>
      <c r="S3" s="237" t="s">
        <v>81</v>
      </c>
      <c r="T3" s="238" t="s">
        <v>82</v>
      </c>
      <c r="U3" s="238" t="s">
        <v>83</v>
      </c>
      <c r="V3" s="239" t="s">
        <v>84</v>
      </c>
      <c r="W3" s="228"/>
      <c r="X3" s="228"/>
      <c r="Y3" s="228"/>
      <c r="Z3" s="22"/>
      <c r="AA3" s="22"/>
      <c r="AB3" s="22"/>
      <c r="AC3" s="22"/>
      <c r="AD3" s="22"/>
      <c r="AE3" s="22"/>
      <c r="AF3" s="22"/>
      <c r="AG3" s="22"/>
      <c r="AH3" s="22"/>
      <c r="AI3" s="22"/>
      <c r="AJ3" s="22"/>
      <c r="AK3" s="22"/>
      <c r="AL3" s="22"/>
      <c r="AM3" s="22"/>
      <c r="AN3" s="22"/>
      <c r="AO3" s="22"/>
      <c r="AP3" s="22"/>
      <c r="AQ3" s="22"/>
    </row>
    <row r="4" spans="1:43" ht="30" customHeight="1">
      <c r="A4" s="93">
        <v>4.0999999999999996</v>
      </c>
      <c r="B4" s="344" t="s">
        <v>85</v>
      </c>
      <c r="C4" s="364" t="s">
        <v>194</v>
      </c>
      <c r="D4" s="263" t="s">
        <v>87</v>
      </c>
      <c r="E4" s="147" t="s">
        <v>195</v>
      </c>
      <c r="F4" s="263" t="s">
        <v>89</v>
      </c>
      <c r="G4" s="263" t="s">
        <v>118</v>
      </c>
      <c r="H4" s="263" t="s">
        <v>100</v>
      </c>
      <c r="I4" s="263" t="s">
        <v>120</v>
      </c>
      <c r="J4" s="263" t="s">
        <v>129</v>
      </c>
      <c r="K4" s="271">
        <f>IF(W4="NANANANA",S4,IF(AND(OR(G4="Formally Documented",G4="Informally Documented"),H4="Not Implemented"),0.5*AVERAGE(S4:V4),AVERAGE(S4:V4)))</f>
        <v>3</v>
      </c>
      <c r="L4" s="271">
        <f>IF(AND(D4="K",K4=1),'Maturity Rating'!$E$8,IF(K4="NA",K4,IF(D4="K",K4*'Maturity Rating'!$E$7,K4)))</f>
        <v>3.5999999999999996</v>
      </c>
      <c r="M4" s="369">
        <f>IF(X4="NANANANANA",K4,AVERAGE(L4:L8))</f>
        <v>3.07</v>
      </c>
      <c r="N4" s="371">
        <f>IF(M4="NA",M4,(MIN(5,M4/3*5)))</f>
        <v>5</v>
      </c>
      <c r="O4" s="351" t="str">
        <f>IF(N4="NA",N4,VLOOKUP(Q4,'Maturity Rating'!G4:H8,2,FALSE))</f>
        <v>Adaptive</v>
      </c>
      <c r="P4" s="27"/>
      <c r="Q4" s="240">
        <f>IF(N4="NA",N4,ROUNDDOWN(N4,0))</f>
        <v>5</v>
      </c>
      <c r="S4" s="241">
        <f>VLOOKUP(G4,'Maturity Rating'!A$2:B$5,2,FALSE)</f>
        <v>3</v>
      </c>
      <c r="T4" s="241">
        <f>VLOOKUP(H4,'Maturity Rating'!A$8:B$11,2,FALSE)</f>
        <v>3</v>
      </c>
      <c r="U4" s="241">
        <f>VLOOKUP(I4,'Maturity Rating'!A$14:B$17,2,FALSE)</f>
        <v>3</v>
      </c>
      <c r="V4" s="241">
        <f>VLOOKUP(J4,'Maturity Rating'!A$20:B$23,2,FALSE)</f>
        <v>3</v>
      </c>
      <c r="W4" t="str">
        <f>CONCATENATE(S4,T4,U4,V4)</f>
        <v>3333</v>
      </c>
      <c r="X4" t="str">
        <f>CONCATENATE(L4,L5,L6,L7,L8)</f>
        <v>3.632.7533</v>
      </c>
    </row>
    <row r="5" spans="1:43" ht="29">
      <c r="A5" s="93">
        <v>4.2</v>
      </c>
      <c r="B5" s="345"/>
      <c r="C5" s="365"/>
      <c r="D5" s="257"/>
      <c r="E5" s="266" t="s">
        <v>93</v>
      </c>
      <c r="F5" s="257" t="s">
        <v>89</v>
      </c>
      <c r="G5" s="263" t="s">
        <v>118</v>
      </c>
      <c r="H5" s="263" t="s">
        <v>100</v>
      </c>
      <c r="I5" s="263" t="s">
        <v>120</v>
      </c>
      <c r="J5" s="263" t="s">
        <v>129</v>
      </c>
      <c r="K5" s="271">
        <f t="shared" ref="K5:K23" si="0">IF(W5="NANANANA",S5,IF(AND(OR(G5="Formally Documented",G5="Informally Documented"),H5="Not Implemented"),0.5*AVERAGE(S5:V5),AVERAGE(S5:V5)))</f>
        <v>3</v>
      </c>
      <c r="L5" s="273">
        <f>IF(AND(D5="K",K5=1),'Maturity Rating'!$E$8,IF(K5="NA",K5,IF(D5="K",K5*'Maturity Rating'!$E$7,K5)))</f>
        <v>3</v>
      </c>
      <c r="M5" s="373"/>
      <c r="N5" s="374"/>
      <c r="O5" s="342"/>
      <c r="P5" s="27"/>
      <c r="Q5" s="240"/>
      <c r="S5" s="114">
        <f>VLOOKUP(G5,'Maturity Rating'!A$2:B$5,2,FALSE)</f>
        <v>3</v>
      </c>
      <c r="T5" s="114">
        <f>VLOOKUP(H5,'Maturity Rating'!A$8:B$11,2,FALSE)</f>
        <v>3</v>
      </c>
      <c r="U5" s="114">
        <f>VLOOKUP(I5,'Maturity Rating'!A$14:B$17,2,FALSE)</f>
        <v>3</v>
      </c>
      <c r="V5" s="114">
        <f>VLOOKUP(J5,'Maturity Rating'!A$20:B$23,2,FALSE)</f>
        <v>3</v>
      </c>
      <c r="W5" t="str">
        <f t="shared" ref="W5:W23" si="1">CONCATENATE(S5,T5,U5,V5)</f>
        <v>3333</v>
      </c>
    </row>
    <row r="6" spans="1:43" ht="29">
      <c r="A6" s="93">
        <v>4.3</v>
      </c>
      <c r="B6" s="345"/>
      <c r="C6" s="365"/>
      <c r="D6" s="257"/>
      <c r="E6" s="266" t="s">
        <v>196</v>
      </c>
      <c r="F6" s="257" t="s">
        <v>89</v>
      </c>
      <c r="G6" s="263" t="s">
        <v>118</v>
      </c>
      <c r="H6" s="263" t="s">
        <v>100</v>
      </c>
      <c r="I6" s="263" t="s">
        <v>120</v>
      </c>
      <c r="J6" s="263" t="s">
        <v>464</v>
      </c>
      <c r="K6" s="271">
        <f t="shared" si="0"/>
        <v>2.75</v>
      </c>
      <c r="L6" s="273">
        <f>IF(AND(D6="K",K6=1),'Maturity Rating'!$E$8,IF(K6="NA",K6,IF(D6="K",K6*'Maturity Rating'!$E$7,K6)))</f>
        <v>2.75</v>
      </c>
      <c r="M6" s="373"/>
      <c r="N6" s="374"/>
      <c r="O6" s="342"/>
      <c r="P6" s="27"/>
      <c r="Q6" s="240"/>
      <c r="S6" s="114">
        <f>VLOOKUP(G6,'Maturity Rating'!A$2:B$5,2,FALSE)</f>
        <v>3</v>
      </c>
      <c r="T6" s="114">
        <f>VLOOKUP(H6,'Maturity Rating'!A$8:B$11,2,FALSE)</f>
        <v>3</v>
      </c>
      <c r="U6" s="114">
        <f>VLOOKUP(I6,'Maturity Rating'!A$14:B$17,2,FALSE)</f>
        <v>3</v>
      </c>
      <c r="V6" s="114">
        <f>VLOOKUP(J6,'Maturity Rating'!A$20:B$23,2,FALSE)</f>
        <v>2</v>
      </c>
      <c r="W6" t="str">
        <f t="shared" si="1"/>
        <v>3332</v>
      </c>
    </row>
    <row r="7" spans="1:43" ht="29">
      <c r="A7" s="93">
        <v>4.4000000000000004</v>
      </c>
      <c r="B7" s="345"/>
      <c r="C7" s="365"/>
      <c r="D7" s="257"/>
      <c r="E7" s="28" t="s">
        <v>197</v>
      </c>
      <c r="F7" s="257" t="s">
        <v>89</v>
      </c>
      <c r="G7" s="263" t="s">
        <v>118</v>
      </c>
      <c r="H7" s="263" t="s">
        <v>100</v>
      </c>
      <c r="I7" s="263" t="s">
        <v>120</v>
      </c>
      <c r="J7" s="263" t="s">
        <v>129</v>
      </c>
      <c r="K7" s="271">
        <f t="shared" si="0"/>
        <v>3</v>
      </c>
      <c r="L7" s="273">
        <f>IF(AND(D7="K",K7=1),'Maturity Rating'!$E$8,IF(K7="NA",K7,IF(D7="K",K7*'Maturity Rating'!$E$7,K7)))</f>
        <v>3</v>
      </c>
      <c r="M7" s="373"/>
      <c r="N7" s="374"/>
      <c r="O7" s="342"/>
      <c r="P7" s="27"/>
      <c r="Q7" s="242"/>
      <c r="S7" s="114">
        <f>VLOOKUP(G7,'Maturity Rating'!A$2:B$5,2,FALSE)</f>
        <v>3</v>
      </c>
      <c r="T7" s="114">
        <f>VLOOKUP(H7,'Maturity Rating'!A$8:B$11,2,FALSE)</f>
        <v>3</v>
      </c>
      <c r="U7" s="114">
        <f>VLOOKUP(I7,'Maturity Rating'!A$14:B$17,2,FALSE)</f>
        <v>3</v>
      </c>
      <c r="V7" s="114">
        <f>VLOOKUP(J7,'Maturity Rating'!A$20:B$23,2,FALSE)</f>
        <v>3</v>
      </c>
      <c r="W7" t="str">
        <f t="shared" si="1"/>
        <v>3333</v>
      </c>
    </row>
    <row r="8" spans="1:43" ht="30.75" customHeight="1" thickBot="1">
      <c r="A8" s="75">
        <v>4.5</v>
      </c>
      <c r="B8" s="347"/>
      <c r="C8" s="367"/>
      <c r="D8" s="259"/>
      <c r="E8" s="268" t="s">
        <v>198</v>
      </c>
      <c r="F8" s="259" t="s">
        <v>89</v>
      </c>
      <c r="G8" s="263" t="s">
        <v>118</v>
      </c>
      <c r="H8" s="259" t="s">
        <v>100</v>
      </c>
      <c r="I8" s="259" t="s">
        <v>120</v>
      </c>
      <c r="J8" s="259" t="s">
        <v>129</v>
      </c>
      <c r="K8" s="272">
        <f t="shared" si="0"/>
        <v>3</v>
      </c>
      <c r="L8" s="272">
        <f>IF(AND(D8="K",K8=1),'Maturity Rating'!$E$8,IF(K8="NA",K8,IF(D8="K",K8*'Maturity Rating'!$E$7,K8)))</f>
        <v>3</v>
      </c>
      <c r="M8" s="370"/>
      <c r="N8" s="372"/>
      <c r="O8" s="343"/>
      <c r="P8" s="27"/>
      <c r="S8" s="114">
        <f>VLOOKUP(G8,'Maturity Rating'!A$2:B$5,2,FALSE)</f>
        <v>3</v>
      </c>
      <c r="T8" s="114">
        <f>VLOOKUP(H8,'Maturity Rating'!A$8:B$11,2,FALSE)</f>
        <v>3</v>
      </c>
      <c r="U8" s="114">
        <f>VLOOKUP(I8,'Maturity Rating'!A$14:B$17,2,FALSE)</f>
        <v>3</v>
      </c>
      <c r="V8" s="114">
        <f>VLOOKUP(J8,'Maturity Rating'!A$20:B$23,2,FALSE)</f>
        <v>3</v>
      </c>
      <c r="W8" t="str">
        <f t="shared" si="1"/>
        <v>3333</v>
      </c>
    </row>
    <row r="9" spans="1:43" ht="48.75" customHeight="1">
      <c r="A9" s="93">
        <v>4.5999999999999996</v>
      </c>
      <c r="B9" s="344" t="s">
        <v>199</v>
      </c>
      <c r="C9" s="364" t="s">
        <v>200</v>
      </c>
      <c r="D9" s="263"/>
      <c r="E9" s="279" t="s">
        <v>201</v>
      </c>
      <c r="F9" s="263" t="s">
        <v>105</v>
      </c>
      <c r="G9" s="263" t="s">
        <v>118</v>
      </c>
      <c r="H9" s="263" t="s">
        <v>100</v>
      </c>
      <c r="I9" s="263" t="s">
        <v>120</v>
      </c>
      <c r="J9" s="263" t="s">
        <v>129</v>
      </c>
      <c r="K9" s="271">
        <f t="shared" si="0"/>
        <v>3</v>
      </c>
      <c r="L9" s="271">
        <f>IF(AND(D9="K",K9=1),'Maturity Rating'!$E$8,IF(K9="NA",K9,IF(D9="K",K9*'Maturity Rating'!$E$7,K9)))</f>
        <v>3</v>
      </c>
      <c r="M9" s="369">
        <f>IF(X9="NANA",K9,AVERAGE(L9:L10))</f>
        <v>3</v>
      </c>
      <c r="N9" s="371">
        <f>IF(M9="NA",M9,(MIN(5,M9/3*5)))</f>
        <v>5</v>
      </c>
      <c r="O9" s="351" t="str">
        <f>IF(N9="NA",N9,VLOOKUP(Q9,'Maturity Rating'!G4:H8,2,FALSE))</f>
        <v>Adaptive</v>
      </c>
      <c r="P9" s="27"/>
      <c r="Q9" s="240">
        <f>IF(N9="NA",N9,ROUNDDOWN(N9,0))</f>
        <v>5</v>
      </c>
      <c r="S9" s="114">
        <f>VLOOKUP(G9,'Maturity Rating'!A$2:B$5,2,FALSE)</f>
        <v>3</v>
      </c>
      <c r="T9" s="114">
        <f>VLOOKUP(H9,'Maturity Rating'!A$8:B$11,2,FALSE)</f>
        <v>3</v>
      </c>
      <c r="U9" s="114">
        <f>VLOOKUP(I9,'Maturity Rating'!A$14:B$17,2,FALSE)</f>
        <v>3</v>
      </c>
      <c r="V9" s="114">
        <f>VLOOKUP(J9,'Maturity Rating'!A$20:B$23,2,FALSE)</f>
        <v>3</v>
      </c>
      <c r="W9" t="str">
        <f t="shared" si="1"/>
        <v>3333</v>
      </c>
      <c r="X9" t="str">
        <f>CONCATENATE(L9,L10)</f>
        <v>33</v>
      </c>
    </row>
    <row r="10" spans="1:43" ht="50.25" customHeight="1" thickBot="1">
      <c r="A10" s="75">
        <v>4.7</v>
      </c>
      <c r="B10" s="347"/>
      <c r="C10" s="367"/>
      <c r="D10" s="259"/>
      <c r="E10" s="268" t="s">
        <v>202</v>
      </c>
      <c r="F10" s="259" t="s">
        <v>89</v>
      </c>
      <c r="G10" s="259" t="s">
        <v>118</v>
      </c>
      <c r="H10" s="259" t="s">
        <v>100</v>
      </c>
      <c r="I10" s="259" t="s">
        <v>120</v>
      </c>
      <c r="J10" s="259" t="s">
        <v>129</v>
      </c>
      <c r="K10" s="272">
        <f t="shared" si="0"/>
        <v>3</v>
      </c>
      <c r="L10" s="272">
        <f>IF(AND(D10="K",K10=1),'Maturity Rating'!$E$8,IF(K10="NA",K10,IF(D10="K",K10*'Maturity Rating'!$E$7,K10)))</f>
        <v>3</v>
      </c>
      <c r="M10" s="370"/>
      <c r="N10" s="372"/>
      <c r="O10" s="343"/>
      <c r="P10" s="27"/>
      <c r="Q10" s="242"/>
      <c r="S10" s="114">
        <f>VLOOKUP(G10,'Maturity Rating'!A$2:B$5,2,FALSE)</f>
        <v>3</v>
      </c>
      <c r="T10" s="114">
        <f>VLOOKUP(H10,'Maturity Rating'!A$8:B$11,2,FALSE)</f>
        <v>3</v>
      </c>
      <c r="U10" s="114">
        <f>VLOOKUP(I10,'Maturity Rating'!A$14:B$17,2,FALSE)</f>
        <v>3</v>
      </c>
      <c r="V10" s="114">
        <f>VLOOKUP(J10,'Maturity Rating'!A$20:B$23,2,FALSE)</f>
        <v>3</v>
      </c>
      <c r="W10" t="str">
        <f t="shared" si="1"/>
        <v>3333</v>
      </c>
    </row>
    <row r="11" spans="1:43" ht="32" customHeight="1">
      <c r="A11" s="93">
        <v>4.8</v>
      </c>
      <c r="B11" s="344" t="s">
        <v>203</v>
      </c>
      <c r="C11" s="364" t="s">
        <v>204</v>
      </c>
      <c r="D11" s="263"/>
      <c r="E11" s="305" t="s">
        <v>205</v>
      </c>
      <c r="F11" s="263" t="s">
        <v>105</v>
      </c>
      <c r="G11" s="99" t="s">
        <v>127</v>
      </c>
      <c r="H11" s="263" t="s">
        <v>95</v>
      </c>
      <c r="I11" s="99" t="s">
        <v>206</v>
      </c>
      <c r="J11" s="263" t="s">
        <v>102</v>
      </c>
      <c r="K11" s="271">
        <f t="shared" si="0"/>
        <v>1</v>
      </c>
      <c r="L11" s="271">
        <f>IF(AND(D11="K",K11=1),'Maturity Rating'!$E$8,IF(K11="NA",K11,IF(D11="K",K11*'Maturity Rating'!$E$7,K11)))</f>
        <v>1</v>
      </c>
      <c r="M11" s="371">
        <f>IF(X11="NANANANANANANANANANANA",K11,AVERAGE(L11:L23))</f>
        <v>2.6150000000000002</v>
      </c>
      <c r="N11" s="371">
        <f>IF(M11="NA",M11,(MIN(5,M11/3*5)))</f>
        <v>4.3583333333333334</v>
      </c>
      <c r="O11" s="351" t="str">
        <f>IF(N11="NA",N11,VLOOKUP(Q11,'Maturity Rating'!G4:H8,2,FALSE))</f>
        <v>Repeatable</v>
      </c>
      <c r="P11" s="27"/>
      <c r="Q11" s="242">
        <f>IF(N11="NA",N11,ROUNDDOWN(N11,0))</f>
        <v>4</v>
      </c>
      <c r="S11" s="114">
        <f>VLOOKUP(G11,'Maturity Rating'!A$2:B$5,2,FALSE)</f>
        <v>1</v>
      </c>
      <c r="T11" s="114">
        <f>VLOOKUP(H11,'Maturity Rating'!A$8:B$11,2,FALSE)</f>
        <v>1</v>
      </c>
      <c r="U11" s="114">
        <f>VLOOKUP(I11,'Maturity Rating'!A$14:B$17,2,FALSE)</f>
        <v>1</v>
      </c>
      <c r="V11" s="114">
        <f>VLOOKUP(J11,'Maturity Rating'!A$20:B$23,2,FALSE)</f>
        <v>1</v>
      </c>
      <c r="W11" t="str">
        <f t="shared" si="1"/>
        <v>1111</v>
      </c>
      <c r="X11" t="str">
        <f>CONCATENATE(L11,L12,L13,L14,L15,L16,L17,L18,L19,L20,L21,L22,L23)</f>
        <v>132.4NA3NANA3.633.630.82.75</v>
      </c>
    </row>
    <row r="12" spans="1:43" ht="29">
      <c r="A12" s="93">
        <v>4.9000000000000004</v>
      </c>
      <c r="B12" s="345"/>
      <c r="C12" s="365"/>
      <c r="D12" s="257"/>
      <c r="E12" s="266" t="s">
        <v>207</v>
      </c>
      <c r="F12" s="257" t="s">
        <v>89</v>
      </c>
      <c r="G12" s="263" t="s">
        <v>118</v>
      </c>
      <c r="H12" s="263" t="s">
        <v>100</v>
      </c>
      <c r="I12" s="99" t="s">
        <v>120</v>
      </c>
      <c r="J12" s="263" t="s">
        <v>129</v>
      </c>
      <c r="K12" s="271">
        <f t="shared" si="0"/>
        <v>3</v>
      </c>
      <c r="L12" s="273">
        <f>IF(AND(D12="K",K12=1),'Maturity Rating'!$E$8,IF(K12="NA",K12,IF(D12="K",K12*'Maturity Rating'!$E$7,K12)))</f>
        <v>3</v>
      </c>
      <c r="M12" s="374"/>
      <c r="N12" s="374"/>
      <c r="O12" s="342"/>
      <c r="P12" s="27"/>
      <c r="Q12" s="242"/>
      <c r="S12" s="114">
        <f>VLOOKUP(G12,'Maturity Rating'!A$2:B$5,2,FALSE)</f>
        <v>3</v>
      </c>
      <c r="T12" s="114">
        <f>VLOOKUP(H12,'Maturity Rating'!A$8:B$11,2,FALSE)</f>
        <v>3</v>
      </c>
      <c r="U12" s="114">
        <f>VLOOKUP(I12,'Maturity Rating'!A$14:B$17,2,FALSE)</f>
        <v>3</v>
      </c>
      <c r="V12" s="114">
        <f>VLOOKUP(J12,'Maturity Rating'!A$20:B$23,2,FALSE)</f>
        <v>3</v>
      </c>
      <c r="W12" t="str">
        <f t="shared" si="1"/>
        <v>3333</v>
      </c>
    </row>
    <row r="13" spans="1:43" ht="28.5" customHeight="1">
      <c r="A13" s="93" t="s">
        <v>208</v>
      </c>
      <c r="B13" s="345"/>
      <c r="C13" s="365"/>
      <c r="D13" s="257" t="s">
        <v>87</v>
      </c>
      <c r="E13" s="52" t="s">
        <v>209</v>
      </c>
      <c r="F13" s="257" t="s">
        <v>89</v>
      </c>
      <c r="G13" s="263" t="s">
        <v>90</v>
      </c>
      <c r="H13" s="263" t="s">
        <v>125</v>
      </c>
      <c r="I13" s="99" t="s">
        <v>101</v>
      </c>
      <c r="J13" s="263" t="s">
        <v>464</v>
      </c>
      <c r="K13" s="271">
        <f t="shared" si="0"/>
        <v>2</v>
      </c>
      <c r="L13" s="273">
        <f>IF(AND(D13="K",K13=1),'Maturity Rating'!$E$8,IF(K13="NA",K13,IF(D13="K",K13*'Maturity Rating'!$E$7,K13)))</f>
        <v>2.4</v>
      </c>
      <c r="M13" s="374"/>
      <c r="N13" s="374"/>
      <c r="O13" s="342"/>
      <c r="P13" s="27"/>
      <c r="Q13" s="242"/>
      <c r="S13" s="114">
        <f>VLOOKUP(G13,'Maturity Rating'!A$2:B$5,2,FALSE)</f>
        <v>2</v>
      </c>
      <c r="T13" s="114">
        <f>VLOOKUP(H13,'Maturity Rating'!A$8:B$11,2,FALSE)</f>
        <v>2</v>
      </c>
      <c r="U13" s="114">
        <f>VLOOKUP(I13,'Maturity Rating'!A$14:B$17,2,FALSE)</f>
        <v>2</v>
      </c>
      <c r="V13" s="114">
        <f>VLOOKUP(J13,'Maturity Rating'!A$20:B$23,2,FALSE)</f>
        <v>2</v>
      </c>
      <c r="W13" t="str">
        <f t="shared" si="1"/>
        <v>2222</v>
      </c>
    </row>
    <row r="14" spans="1:43" ht="21" customHeight="1">
      <c r="A14" s="93">
        <v>4.1100000000000003</v>
      </c>
      <c r="B14" s="345"/>
      <c r="C14" s="365"/>
      <c r="D14" s="257" t="s">
        <v>87</v>
      </c>
      <c r="E14" s="52" t="s">
        <v>210</v>
      </c>
      <c r="F14" s="257" t="s">
        <v>89</v>
      </c>
      <c r="G14" s="263" t="s">
        <v>91</v>
      </c>
      <c r="H14" s="263" t="s">
        <v>91</v>
      </c>
      <c r="I14" s="99" t="s">
        <v>91</v>
      </c>
      <c r="J14" s="263" t="s">
        <v>91</v>
      </c>
      <c r="K14" s="271" t="str">
        <f t="shared" si="0"/>
        <v>NA</v>
      </c>
      <c r="L14" s="273" t="str">
        <f>IF(AND(D14="K",K14=1),'Maturity Rating'!$E$8,IF(K14="NA",K14,IF(D14="K",K14*'Maturity Rating'!$E$7,K14)))</f>
        <v>NA</v>
      </c>
      <c r="M14" s="374"/>
      <c r="N14" s="374"/>
      <c r="O14" s="342"/>
      <c r="P14" s="27"/>
      <c r="Q14" s="242"/>
      <c r="S14" s="114" t="str">
        <f>VLOOKUP(G14,'Maturity Rating'!A$2:B$5,2,FALSE)</f>
        <v>NA</v>
      </c>
      <c r="T14" s="114" t="str">
        <f>VLOOKUP(H14,'Maturity Rating'!A$8:B$11,2,FALSE)</f>
        <v>NA</v>
      </c>
      <c r="U14" s="114" t="str">
        <f>VLOOKUP(I14,'Maturity Rating'!A$14:B$17,2,FALSE)</f>
        <v>NA</v>
      </c>
      <c r="V14" s="114" t="str">
        <f>VLOOKUP(J14,'Maturity Rating'!A$20:B$23,2,FALSE)</f>
        <v>NA</v>
      </c>
      <c r="W14" t="str">
        <f t="shared" si="1"/>
        <v>NANANANA</v>
      </c>
    </row>
    <row r="15" spans="1:43" ht="27" customHeight="1">
      <c r="A15" s="93">
        <v>4.12</v>
      </c>
      <c r="B15" s="345"/>
      <c r="C15" s="365"/>
      <c r="D15" s="257"/>
      <c r="E15" s="266" t="s">
        <v>211</v>
      </c>
      <c r="F15" s="55" t="s">
        <v>89</v>
      </c>
      <c r="G15" s="263" t="s">
        <v>118</v>
      </c>
      <c r="H15" s="263" t="s">
        <v>100</v>
      </c>
      <c r="I15" s="99" t="s">
        <v>120</v>
      </c>
      <c r="J15" s="263" t="s">
        <v>129</v>
      </c>
      <c r="K15" s="271">
        <f t="shared" si="0"/>
        <v>3</v>
      </c>
      <c r="L15" s="273">
        <f>IF(AND(D15="K",K15=1),'Maturity Rating'!$E$8,IF(K15="NA",K15,IF(D15="K",K15*'Maturity Rating'!$E$7,K15)))</f>
        <v>3</v>
      </c>
      <c r="M15" s="374"/>
      <c r="N15" s="374"/>
      <c r="O15" s="342"/>
      <c r="P15" s="27"/>
      <c r="Q15" s="242"/>
      <c r="S15" s="114">
        <f>VLOOKUP(G15,'Maturity Rating'!A$2:B$5,2,FALSE)</f>
        <v>3</v>
      </c>
      <c r="T15" s="114">
        <f>VLOOKUP(H15,'Maturity Rating'!A$8:B$11,2,FALSE)</f>
        <v>3</v>
      </c>
      <c r="U15" s="114">
        <f>VLOOKUP(I15,'Maturity Rating'!A$14:B$17,2,FALSE)</f>
        <v>3</v>
      </c>
      <c r="V15" s="114">
        <f>VLOOKUP(J15,'Maturity Rating'!A$20:B$23,2,FALSE)</f>
        <v>3</v>
      </c>
      <c r="W15" t="str">
        <f t="shared" si="1"/>
        <v>3333</v>
      </c>
    </row>
    <row r="16" spans="1:43" ht="31.5" customHeight="1">
      <c r="A16" s="93">
        <v>4.13</v>
      </c>
      <c r="B16" s="345"/>
      <c r="C16" s="365"/>
      <c r="D16" s="257" t="s">
        <v>87</v>
      </c>
      <c r="E16" s="299" t="s">
        <v>212</v>
      </c>
      <c r="F16" s="257" t="s">
        <v>105</v>
      </c>
      <c r="G16" s="99" t="s">
        <v>91</v>
      </c>
      <c r="H16" s="263" t="s">
        <v>91</v>
      </c>
      <c r="I16" s="99" t="s">
        <v>91</v>
      </c>
      <c r="J16" s="263" t="s">
        <v>91</v>
      </c>
      <c r="K16" s="271" t="str">
        <f t="shared" si="0"/>
        <v>NA</v>
      </c>
      <c r="L16" s="273" t="str">
        <f>IF(AND(D16="K",K16=1),'Maturity Rating'!$E$8,IF(K16="NA",K16,IF(D16="K",K16*'Maturity Rating'!$E$7,K16)))</f>
        <v>NA</v>
      </c>
      <c r="M16" s="374"/>
      <c r="N16" s="374"/>
      <c r="O16" s="342"/>
      <c r="P16" s="27"/>
      <c r="Q16" s="242"/>
      <c r="S16" s="114" t="str">
        <f>VLOOKUP(G16,'Maturity Rating'!A$2:B$5,2,FALSE)</f>
        <v>NA</v>
      </c>
      <c r="T16" s="114" t="str">
        <f>VLOOKUP(H16,'Maturity Rating'!A$8:B$11,2,FALSE)</f>
        <v>NA</v>
      </c>
      <c r="U16" s="114" t="str">
        <f>VLOOKUP(I16,'Maturity Rating'!A$14:B$17,2,FALSE)</f>
        <v>NA</v>
      </c>
      <c r="V16" s="114" t="str">
        <f>VLOOKUP(J16,'Maturity Rating'!A$20:B$23,2,FALSE)</f>
        <v>NA</v>
      </c>
      <c r="W16" t="str">
        <f t="shared" si="1"/>
        <v>NANANANA</v>
      </c>
    </row>
    <row r="17" spans="1:23" ht="30" customHeight="1">
      <c r="A17" s="93">
        <v>4.1399999999999997</v>
      </c>
      <c r="B17" s="345"/>
      <c r="C17" s="365"/>
      <c r="D17" s="257"/>
      <c r="E17" s="1" t="s">
        <v>213</v>
      </c>
      <c r="F17" s="257" t="s">
        <v>105</v>
      </c>
      <c r="G17" s="99" t="s">
        <v>91</v>
      </c>
      <c r="H17" s="263" t="s">
        <v>91</v>
      </c>
      <c r="I17" s="99" t="s">
        <v>91</v>
      </c>
      <c r="J17" s="263" t="s">
        <v>91</v>
      </c>
      <c r="K17" s="271" t="str">
        <f t="shared" si="0"/>
        <v>NA</v>
      </c>
      <c r="L17" s="273" t="str">
        <f>IF(AND(D17="K",K17=1),'Maturity Rating'!$E$8,IF(K17="NA",K17,IF(D17="K",K17*'Maturity Rating'!$E$7,K17)))</f>
        <v>NA</v>
      </c>
      <c r="M17" s="374"/>
      <c r="N17" s="374"/>
      <c r="O17" s="342"/>
      <c r="P17" s="27"/>
      <c r="Q17" s="240"/>
      <c r="S17" s="114" t="str">
        <f>VLOOKUP(G17,'Maturity Rating'!A$2:B$5,2,FALSE)</f>
        <v>NA</v>
      </c>
      <c r="T17" s="114" t="str">
        <f>VLOOKUP(H17,'Maturity Rating'!A$8:B$11,2,FALSE)</f>
        <v>NA</v>
      </c>
      <c r="U17" s="114" t="str">
        <f>VLOOKUP(I17,'Maturity Rating'!A$14:B$17,2,FALSE)</f>
        <v>NA</v>
      </c>
      <c r="V17" s="114" t="str">
        <f>VLOOKUP(J17,'Maturity Rating'!A$20:B$23,2,FALSE)</f>
        <v>NA</v>
      </c>
      <c r="W17" t="str">
        <f t="shared" si="1"/>
        <v>NANANANA</v>
      </c>
    </row>
    <row r="18" spans="1:23" ht="30" customHeight="1">
      <c r="A18" s="93">
        <v>4.1500000000000004</v>
      </c>
      <c r="B18" s="345"/>
      <c r="C18" s="365"/>
      <c r="D18" s="257" t="s">
        <v>87</v>
      </c>
      <c r="E18" s="52" t="s">
        <v>214</v>
      </c>
      <c r="F18" s="257" t="s">
        <v>215</v>
      </c>
      <c r="G18" s="263" t="s">
        <v>118</v>
      </c>
      <c r="H18" s="263" t="s">
        <v>100</v>
      </c>
      <c r="I18" s="99" t="s">
        <v>120</v>
      </c>
      <c r="J18" s="263" t="s">
        <v>129</v>
      </c>
      <c r="K18" s="271">
        <f t="shared" si="0"/>
        <v>3</v>
      </c>
      <c r="L18" s="273">
        <f>IF(AND(D18="K",K18=1),'Maturity Rating'!$E$8,IF(K18="NA",K18,IF(D18="K",K18*'Maturity Rating'!$E$7,K18)))</f>
        <v>3.5999999999999996</v>
      </c>
      <c r="M18" s="374"/>
      <c r="N18" s="374"/>
      <c r="O18" s="342"/>
      <c r="P18" s="27"/>
      <c r="Q18" s="242"/>
      <c r="S18" s="114">
        <f>VLOOKUP(G18,'Maturity Rating'!A$2:B$5,2,FALSE)</f>
        <v>3</v>
      </c>
      <c r="T18" s="114">
        <f>VLOOKUP(H18,'Maturity Rating'!A$8:B$11,2,FALSE)</f>
        <v>3</v>
      </c>
      <c r="U18" s="114">
        <f>VLOOKUP(I18,'Maturity Rating'!A$14:B$17,2,FALSE)</f>
        <v>3</v>
      </c>
      <c r="V18" s="114">
        <f>VLOOKUP(J18,'Maturity Rating'!A$20:B$23,2,FALSE)</f>
        <v>3</v>
      </c>
      <c r="W18" t="str">
        <f t="shared" si="1"/>
        <v>3333</v>
      </c>
    </row>
    <row r="19" spans="1:23" ht="29">
      <c r="A19" s="93">
        <v>4.16</v>
      </c>
      <c r="B19" s="345"/>
      <c r="C19" s="365"/>
      <c r="D19" s="257"/>
      <c r="E19" s="266" t="s">
        <v>216</v>
      </c>
      <c r="F19" s="257" t="s">
        <v>89</v>
      </c>
      <c r="G19" s="263" t="s">
        <v>118</v>
      </c>
      <c r="H19" s="263" t="s">
        <v>100</v>
      </c>
      <c r="I19" s="99" t="s">
        <v>120</v>
      </c>
      <c r="J19" s="263" t="s">
        <v>129</v>
      </c>
      <c r="K19" s="271">
        <f t="shared" si="0"/>
        <v>3</v>
      </c>
      <c r="L19" s="273">
        <f>IF(AND(D19="K",K19=1),'Maturity Rating'!$E$8,IF(K19="NA",K19,IF(D19="K",K19*'Maturity Rating'!$E$7,K19)))</f>
        <v>3</v>
      </c>
      <c r="M19" s="374"/>
      <c r="N19" s="374"/>
      <c r="O19" s="342"/>
      <c r="P19" s="27"/>
      <c r="Q19" s="242"/>
      <c r="S19" s="114">
        <f>VLOOKUP(G19,'Maturity Rating'!A$2:B$5,2,FALSE)</f>
        <v>3</v>
      </c>
      <c r="T19" s="114">
        <f>VLOOKUP(H19,'Maturity Rating'!A$8:B$11,2,FALSE)</f>
        <v>3</v>
      </c>
      <c r="U19" s="114">
        <f>VLOOKUP(I19,'Maturity Rating'!A$14:B$17,2,FALSE)</f>
        <v>3</v>
      </c>
      <c r="V19" s="114">
        <f>VLOOKUP(J19,'Maturity Rating'!A$20:B$23,2,FALSE)</f>
        <v>3</v>
      </c>
      <c r="W19" t="str">
        <f t="shared" si="1"/>
        <v>3333</v>
      </c>
    </row>
    <row r="20" spans="1:23" ht="32" customHeight="1">
      <c r="A20" s="93">
        <v>4.17</v>
      </c>
      <c r="B20" s="345"/>
      <c r="C20" s="365"/>
      <c r="D20" s="257" t="s">
        <v>87</v>
      </c>
      <c r="E20" s="52" t="s">
        <v>217</v>
      </c>
      <c r="F20" s="257" t="s">
        <v>105</v>
      </c>
      <c r="G20" s="263" t="s">
        <v>118</v>
      </c>
      <c r="H20" s="263" t="s">
        <v>100</v>
      </c>
      <c r="I20" s="99" t="s">
        <v>120</v>
      </c>
      <c r="J20" s="263" t="s">
        <v>129</v>
      </c>
      <c r="K20" s="271">
        <f t="shared" si="0"/>
        <v>3</v>
      </c>
      <c r="L20" s="273">
        <f>IF(AND(D20="K",K20=1),'Maturity Rating'!$E$8,IF(K20="NA",K20,IF(D20="K",K20*'Maturity Rating'!$E$7,K20)))</f>
        <v>3.5999999999999996</v>
      </c>
      <c r="M20" s="374"/>
      <c r="N20" s="374"/>
      <c r="O20" s="342"/>
      <c r="P20" s="27"/>
      <c r="Q20" s="242"/>
      <c r="S20" s="114">
        <f>VLOOKUP(G20,'Maturity Rating'!A$2:B$5,2,FALSE)</f>
        <v>3</v>
      </c>
      <c r="T20" s="114">
        <f>VLOOKUP(H20,'Maturity Rating'!A$8:B$11,2,FALSE)</f>
        <v>3</v>
      </c>
      <c r="U20" s="114">
        <f>VLOOKUP(I20,'Maturity Rating'!A$14:B$17,2,FALSE)</f>
        <v>3</v>
      </c>
      <c r="V20" s="114">
        <f>VLOOKUP(J20,'Maturity Rating'!A$20:B$23,2,FALSE)</f>
        <v>3</v>
      </c>
      <c r="W20" t="str">
        <f t="shared" si="1"/>
        <v>3333</v>
      </c>
    </row>
    <row r="21" spans="1:23" ht="30" customHeight="1">
      <c r="A21" s="93">
        <v>4.18</v>
      </c>
      <c r="B21" s="345"/>
      <c r="C21" s="365"/>
      <c r="D21" s="257"/>
      <c r="E21" s="266" t="s">
        <v>218</v>
      </c>
      <c r="F21" s="257" t="s">
        <v>105</v>
      </c>
      <c r="G21" s="263" t="s">
        <v>118</v>
      </c>
      <c r="H21" s="263" t="s">
        <v>100</v>
      </c>
      <c r="I21" s="99" t="s">
        <v>120</v>
      </c>
      <c r="J21" s="263" t="s">
        <v>129</v>
      </c>
      <c r="K21" s="271">
        <f t="shared" si="0"/>
        <v>3</v>
      </c>
      <c r="L21" s="273">
        <f>IF(AND(D21="K",K21=1),'Maturity Rating'!$E$8,IF(K21="NA",K21,IF(D21="K",K21*'Maturity Rating'!$E$7,K21)))</f>
        <v>3</v>
      </c>
      <c r="M21" s="374"/>
      <c r="N21" s="374"/>
      <c r="O21" s="342"/>
      <c r="P21" s="27"/>
      <c r="Q21" s="242"/>
      <c r="S21" s="114">
        <f>VLOOKUP(G21,'Maturity Rating'!A$2:B$5,2,FALSE)</f>
        <v>3</v>
      </c>
      <c r="T21" s="114">
        <f>VLOOKUP(H21,'Maturity Rating'!A$8:B$11,2,FALSE)</f>
        <v>3</v>
      </c>
      <c r="U21" s="114">
        <f>VLOOKUP(I21,'Maturity Rating'!A$14:B$17,2,FALSE)</f>
        <v>3</v>
      </c>
      <c r="V21" s="114">
        <f>VLOOKUP(J21,'Maturity Rating'!A$20:B$23,2,FALSE)</f>
        <v>3</v>
      </c>
      <c r="W21" t="str">
        <f t="shared" si="1"/>
        <v>3333</v>
      </c>
    </row>
    <row r="22" spans="1:23" ht="30" customHeight="1">
      <c r="A22" s="166">
        <v>4.1900000000000004</v>
      </c>
      <c r="B22" s="346"/>
      <c r="C22" s="366"/>
      <c r="D22" s="258" t="s">
        <v>87</v>
      </c>
      <c r="E22" s="301" t="s">
        <v>219</v>
      </c>
      <c r="F22" s="258" t="s">
        <v>89</v>
      </c>
      <c r="G22" s="99" t="s">
        <v>127</v>
      </c>
      <c r="H22" s="263" t="s">
        <v>95</v>
      </c>
      <c r="I22" s="99" t="s">
        <v>91</v>
      </c>
      <c r="J22" s="263" t="s">
        <v>102</v>
      </c>
      <c r="K22" s="271">
        <f t="shared" ref="K22" si="2">IF(W22="NANANANA",S22,IF(AND(OR(G22="Formally Documented",G22="Informally Documented"),H22="Not Implemented"),0.5*AVERAGE(S22:V22),AVERAGE(S22:V22)))</f>
        <v>1</v>
      </c>
      <c r="L22" s="273">
        <f>IF(AND(D22="K",K22=1),'Maturity Rating'!$E$8,IF(K22="NA",K22,IF(D22="K",K22*'Maturity Rating'!$E$7,K22)))</f>
        <v>0.8</v>
      </c>
      <c r="M22" s="375"/>
      <c r="N22" s="375"/>
      <c r="O22" s="352"/>
      <c r="P22" s="27"/>
      <c r="Q22" s="242"/>
      <c r="S22" s="114">
        <f>VLOOKUP(G22,'Maturity Rating'!A$2:B$5,2,FALSE)</f>
        <v>1</v>
      </c>
      <c r="T22" s="114">
        <f>VLOOKUP(H22,'Maturity Rating'!A$8:B$11,2,FALSE)</f>
        <v>1</v>
      </c>
      <c r="U22" s="114" t="str">
        <f>VLOOKUP(I22,'Maturity Rating'!A$14:B$17,2,FALSE)</f>
        <v>NA</v>
      </c>
      <c r="V22" s="114">
        <f>VLOOKUP(J22,'Maturity Rating'!A$20:B$23,2,FALSE)</f>
        <v>1</v>
      </c>
      <c r="W22" t="str">
        <f t="shared" ref="W22" si="3">CONCATENATE(S22,T22,U22,V22)</f>
        <v>11NA1</v>
      </c>
    </row>
    <row r="23" spans="1:23" ht="30.75" customHeight="1" thickBot="1">
      <c r="A23" s="75" t="s">
        <v>220</v>
      </c>
      <c r="B23" s="347"/>
      <c r="C23" s="367"/>
      <c r="D23" s="259"/>
      <c r="E23" s="268" t="s">
        <v>221</v>
      </c>
      <c r="F23" s="59" t="s">
        <v>89</v>
      </c>
      <c r="G23" s="259" t="s">
        <v>118</v>
      </c>
      <c r="H23" s="259" t="s">
        <v>100</v>
      </c>
      <c r="I23" s="259" t="s">
        <v>120</v>
      </c>
      <c r="J23" s="259" t="s">
        <v>464</v>
      </c>
      <c r="K23" s="272">
        <f t="shared" si="0"/>
        <v>2.75</v>
      </c>
      <c r="L23" s="272">
        <f>IF(AND(D23="K",K23=1),'Maturity Rating'!$E$8,IF(K23="NA",K23,IF(D23="K",K23*'Maturity Rating'!$E$7,K23)))</f>
        <v>2.75</v>
      </c>
      <c r="M23" s="372"/>
      <c r="N23" s="372"/>
      <c r="O23" s="343"/>
      <c r="P23" s="27"/>
      <c r="Q23" s="242"/>
      <c r="S23" s="114">
        <f>VLOOKUP(G23,'Maturity Rating'!A$2:B$5,2,FALSE)</f>
        <v>3</v>
      </c>
      <c r="T23" s="114">
        <f>VLOOKUP(H23,'Maturity Rating'!A$8:B$11,2,FALSE)</f>
        <v>3</v>
      </c>
      <c r="U23" s="114">
        <f>VLOOKUP(I23,'Maturity Rating'!A$14:B$17,2,FALSE)</f>
        <v>3</v>
      </c>
      <c r="V23" s="114">
        <f>VLOOKUP(J23,'Maturity Rating'!A$20:B$23,2,FALSE)</f>
        <v>2</v>
      </c>
      <c r="W23" t="str">
        <f t="shared" si="1"/>
        <v>3332</v>
      </c>
    </row>
  </sheetData>
  <mergeCells count="16">
    <mergeCell ref="B11:B23"/>
    <mergeCell ref="C11:C23"/>
    <mergeCell ref="M11:M23"/>
    <mergeCell ref="N11:N23"/>
    <mergeCell ref="O11:O23"/>
    <mergeCell ref="C1:D1"/>
    <mergeCell ref="B4:B8"/>
    <mergeCell ref="C4:C8"/>
    <mergeCell ref="M4:M8"/>
    <mergeCell ref="N4:N8"/>
    <mergeCell ref="O4:O8"/>
    <mergeCell ref="B9:B10"/>
    <mergeCell ref="C9:C10"/>
    <mergeCell ref="M9:M10"/>
    <mergeCell ref="N9:N10"/>
    <mergeCell ref="O9:O10"/>
  </mergeCells>
  <pageMargins left="0.7" right="0.7" top="0.75" bottom="0.75" header="0.3" footer="0.3"/>
  <pageSetup paperSize="9" orientation="portrait" r:id="rId1"/>
  <ignoredErrors>
    <ignoredError sqref="E1:F1 K5:O23 K4:L4 N4:O4" evalError="1"/>
  </ignoredErrors>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700-000000000000}">
          <x14:formula1>
            <xm:f>'Maturity Rating'!$A$2:$A$5</xm:f>
          </x14:formula1>
          <xm:sqref>G4:G23</xm:sqref>
        </x14:dataValidation>
        <x14:dataValidation type="list" allowBlank="1" showInputMessage="1" showErrorMessage="1" xr:uid="{00000000-0002-0000-0700-000001000000}">
          <x14:formula1>
            <xm:f>'Maturity Rating'!$A$14:$A$17</xm:f>
          </x14:formula1>
          <xm:sqref>I4:I23</xm:sqref>
        </x14:dataValidation>
        <x14:dataValidation type="list" allowBlank="1" showInputMessage="1" showErrorMessage="1" xr:uid="{00000000-0002-0000-0700-000002000000}">
          <x14:formula1>
            <xm:f>'Maturity Rating'!$A$20:$A$23</xm:f>
          </x14:formula1>
          <xm:sqref>J4:J23</xm:sqref>
        </x14:dataValidation>
        <x14:dataValidation type="list" allowBlank="1" showInputMessage="1" showErrorMessage="1" xr:uid="{00000000-0002-0000-0700-000003000000}">
          <x14:formula1>
            <xm:f>'Maturity Rating'!$A$8:$A$11</xm:f>
          </x14:formula1>
          <xm:sqref>H4:H23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2"/>
  </sheetPr>
  <dimension ref="A1:X95"/>
  <sheetViews>
    <sheetView showGridLines="0" zoomScale="71" zoomScaleNormal="48" workbookViewId="0">
      <selection activeCell="E1" sqref="E1"/>
    </sheetView>
  </sheetViews>
  <sheetFormatPr defaultColWidth="9.08984375" defaultRowHeight="14.5"/>
  <cols>
    <col min="1" max="1" width="6.453125" style="22" customWidth="1"/>
    <col min="2" max="2" width="23.08984375" style="24" customWidth="1"/>
    <col min="3" max="3" width="34.90625" style="25" customWidth="1"/>
    <col min="4" max="4" width="25" style="25" customWidth="1"/>
    <col min="5" max="5" width="79.1796875" style="24" customWidth="1"/>
    <col min="6" max="6" width="31.36328125" style="62" customWidth="1"/>
    <col min="7" max="8" width="20.6328125" style="62" customWidth="1"/>
    <col min="9" max="9" width="20.90625" style="62" bestFit="1" customWidth="1"/>
    <col min="10" max="10" width="20.6328125" style="62" customWidth="1"/>
    <col min="11" max="11" width="13.6328125" style="24" bestFit="1" customWidth="1"/>
    <col min="12" max="12" width="26.36328125" style="24" customWidth="1"/>
    <col min="13" max="13" width="18.81640625" style="24" customWidth="1"/>
    <col min="14" max="14" width="20.90625" style="24" customWidth="1"/>
    <col min="15" max="15" width="13.6328125" style="24" customWidth="1"/>
    <col min="16" max="16" width="10.08984375" style="24" customWidth="1"/>
    <col min="17" max="17" width="3.08984375" style="24" hidden="1" customWidth="1"/>
    <col min="18" max="18" width="4.6328125" style="24" hidden="1" customWidth="1"/>
    <col min="19" max="19" width="5.6328125" style="62" hidden="1" customWidth="1"/>
    <col min="20" max="20" width="9" style="62" hidden="1" customWidth="1"/>
    <col min="21" max="21" width="6.453125" style="62" hidden="1" customWidth="1"/>
    <col min="22" max="22" width="12.36328125" style="62" hidden="1" customWidth="1"/>
    <col min="23" max="23" width="8.90625" style="24" hidden="1" customWidth="1"/>
    <col min="24" max="24" width="13.54296875" style="24" hidden="1" customWidth="1"/>
    <col min="25" max="25" width="16.81640625" style="24" customWidth="1"/>
    <col min="26" max="16384" width="9.08984375" style="24"/>
  </cols>
  <sheetData>
    <row r="1" spans="1:24" ht="22.5" customHeight="1" thickBot="1">
      <c r="C1" s="353" t="s">
        <v>66</v>
      </c>
      <c r="D1" s="354"/>
      <c r="E1" s="45" t="str">
        <f>IF(F1="NA","Not Applicable",VLOOKUP(T1,'Maturity Rating'!G4:H8,2,FALSE))</f>
        <v>Partial</v>
      </c>
      <c r="F1" s="46">
        <f>IF(U1="NANANANANANANANANANA","NA",AVERAGE(N4:N95))</f>
        <v>2.5062483812483811</v>
      </c>
      <c r="G1" s="22"/>
      <c r="I1" s="86"/>
      <c r="J1" s="83"/>
      <c r="K1" s="84"/>
      <c r="Q1" s="82"/>
      <c r="S1" s="24"/>
      <c r="T1" s="85">
        <f>ROUNDDOWN(F1,0)</f>
        <v>2</v>
      </c>
      <c r="U1" s="24" t="str">
        <f>CONCATENATE(N4,N10,N16,N26,N36,N45,N53,N58,N70,N77,N90)</f>
        <v>2.333333333333333.777777777777784.22.31.9629629629629612.416666666666671.8611111111111121.89743589743593.81944444444444</v>
      </c>
      <c r="V1" s="24"/>
    </row>
    <row r="2" spans="1:24" ht="15" thickBot="1"/>
    <row r="3" spans="1:24" s="22" customFormat="1" ht="30.75" customHeight="1" thickBot="1">
      <c r="A3" s="157" t="s">
        <v>2</v>
      </c>
      <c r="B3" s="157" t="s">
        <v>67</v>
      </c>
      <c r="C3" s="81" t="s">
        <v>68</v>
      </c>
      <c r="D3" s="81" t="s">
        <v>69</v>
      </c>
      <c r="E3" s="81" t="s">
        <v>70</v>
      </c>
      <c r="F3" s="81" t="s">
        <v>71</v>
      </c>
      <c r="G3" s="81" t="s">
        <v>72</v>
      </c>
      <c r="H3" s="81" t="s">
        <v>73</v>
      </c>
      <c r="I3" s="81" t="s">
        <v>74</v>
      </c>
      <c r="J3" s="81" t="s">
        <v>75</v>
      </c>
      <c r="K3" s="81" t="s">
        <v>76</v>
      </c>
      <c r="L3" s="81" t="s">
        <v>77</v>
      </c>
      <c r="M3" s="81" t="s">
        <v>78</v>
      </c>
      <c r="N3" s="81" t="s">
        <v>79</v>
      </c>
      <c r="O3" s="89" t="s">
        <v>80</v>
      </c>
      <c r="P3" s="24"/>
      <c r="Q3" s="24"/>
      <c r="R3" s="24"/>
      <c r="S3" s="63" t="s">
        <v>81</v>
      </c>
      <c r="T3" s="63" t="s">
        <v>82</v>
      </c>
      <c r="U3" s="63" t="s">
        <v>83</v>
      </c>
      <c r="V3" s="63" t="s">
        <v>84</v>
      </c>
    </row>
    <row r="4" spans="1:24" ht="30.75" customHeight="1">
      <c r="A4" s="263">
        <v>5.0999999999999996</v>
      </c>
      <c r="B4" s="377" t="s">
        <v>222</v>
      </c>
      <c r="C4" s="368" t="s">
        <v>223</v>
      </c>
      <c r="D4" s="256" t="s">
        <v>87</v>
      </c>
      <c r="E4" s="51" t="s">
        <v>224</v>
      </c>
      <c r="F4" s="256" t="s">
        <v>89</v>
      </c>
      <c r="G4" s="256" t="s">
        <v>118</v>
      </c>
      <c r="H4" s="256" t="s">
        <v>100</v>
      </c>
      <c r="I4" s="256" t="s">
        <v>120</v>
      </c>
      <c r="J4" s="256" t="s">
        <v>129</v>
      </c>
      <c r="K4" s="271">
        <f>IF(W4="NANANANA",S4,IF(AND(OR(G4="Formally Documented",G4="Informally Documented"),H4="Not Implemented"),0.5*AVERAGE(S4:V4),AVERAGE(S4:V4)))</f>
        <v>3</v>
      </c>
      <c r="L4" s="271">
        <f>IF(AND(D4="K",K4=1),'Maturity Rating'!$E$8,IF(K4="NA",K4,IF(D4="K",K4*'Maturity Rating'!$E$7,K4)))</f>
        <v>3.5999999999999996</v>
      </c>
      <c r="M4" s="380">
        <f>IF(X4="NANANANANANA",K4,AVERAGE(L4:L9))</f>
        <v>1.3999999999999997</v>
      </c>
      <c r="N4" s="381">
        <f>IF(M4&lt;1.1,1,IF(M4="NA",M4,(MIN(5,M4/3*5))))</f>
        <v>2.333333333333333</v>
      </c>
      <c r="O4" s="341" t="str">
        <f>IF(N4="NA",N4,VLOOKUP(Q4,'Maturity Rating'!G4:H8,2,FALSE))</f>
        <v>Partial</v>
      </c>
      <c r="P4" s="21"/>
      <c r="Q4" s="244">
        <f>IF(N4="NA",N4,ROUNDDOWN(N4,0))</f>
        <v>2</v>
      </c>
      <c r="S4" s="257">
        <f>VLOOKUP(G4,'Maturity Rating'!A$2:B$5,2,FALSE)</f>
        <v>3</v>
      </c>
      <c r="T4" s="257">
        <f>VLOOKUP(H4,'Maturity Rating'!A$8:B$11,2,FALSE)</f>
        <v>3</v>
      </c>
      <c r="U4" s="257">
        <f>VLOOKUP(I4,'Maturity Rating'!A$14:B$17,2,FALSE)</f>
        <v>3</v>
      </c>
      <c r="V4" s="257">
        <f>VLOOKUP(J4,'Maturity Rating'!A$20:B$23,2,FALSE)</f>
        <v>3</v>
      </c>
      <c r="W4" s="24" t="str">
        <f>CONCATENATE(S4,T4,U4,V4)</f>
        <v>3333</v>
      </c>
      <c r="X4" s="24" t="str">
        <f>CONCATENATE(L4,L5,L6,L7,L8,L9)</f>
        <v>3.610.8111</v>
      </c>
    </row>
    <row r="5" spans="1:24" ht="29">
      <c r="A5" s="257">
        <v>5.2</v>
      </c>
      <c r="B5" s="378"/>
      <c r="C5" s="365"/>
      <c r="D5" s="257"/>
      <c r="E5" s="266" t="s">
        <v>93</v>
      </c>
      <c r="F5" s="257" t="s">
        <v>89</v>
      </c>
      <c r="G5" s="257" t="s">
        <v>127</v>
      </c>
      <c r="H5" s="257" t="s">
        <v>95</v>
      </c>
      <c r="I5" s="257" t="s">
        <v>91</v>
      </c>
      <c r="J5" s="257" t="s">
        <v>91</v>
      </c>
      <c r="K5" s="271">
        <f t="shared" ref="K5:K72" si="0">IF(W5="NANANANA",S5,IF(AND(OR(G5="Formally Documented",G5="Informally Documented"),H5="Not Implemented"),0.5*AVERAGE(S5:V5),AVERAGE(S5:V5)))</f>
        <v>1</v>
      </c>
      <c r="L5" s="273">
        <f>IF(AND(D5="K",K5=1),'Maturity Rating'!$E$8,IF(K5="NA",K5,IF(D5="K",K5*'Maturity Rating'!$E$7,K5)))</f>
        <v>1</v>
      </c>
      <c r="M5" s="373"/>
      <c r="N5" s="374"/>
      <c r="O5" s="342"/>
      <c r="P5" s="21"/>
      <c r="Q5" s="244"/>
      <c r="S5" s="257">
        <f>VLOOKUP(G5,'Maturity Rating'!A$2:B$5,2,FALSE)</f>
        <v>1</v>
      </c>
      <c r="T5" s="257">
        <f>VLOOKUP(H5,'Maturity Rating'!A$8:B$11,2,FALSE)</f>
        <v>1</v>
      </c>
      <c r="U5" s="257" t="str">
        <f>VLOOKUP(I5,'Maturity Rating'!A$14:B$17,2,FALSE)</f>
        <v>NA</v>
      </c>
      <c r="V5" s="257" t="str">
        <f>VLOOKUP(J5,'Maturity Rating'!A$20:B$23,2,FALSE)</f>
        <v>NA</v>
      </c>
      <c r="W5" s="24" t="str">
        <f t="shared" ref="W5:W71" si="1">CONCATENATE(S5,T5,U5,V5)</f>
        <v>11NANA</v>
      </c>
    </row>
    <row r="6" spans="1:24">
      <c r="A6" s="257">
        <v>5.3</v>
      </c>
      <c r="B6" s="378"/>
      <c r="C6" s="365"/>
      <c r="D6" s="257" t="s">
        <v>87</v>
      </c>
      <c r="E6" s="52" t="s">
        <v>225</v>
      </c>
      <c r="F6" s="257" t="s">
        <v>89</v>
      </c>
      <c r="G6" s="257" t="s">
        <v>127</v>
      </c>
      <c r="H6" s="55" t="s">
        <v>95</v>
      </c>
      <c r="I6" s="55" t="s">
        <v>91</v>
      </c>
      <c r="J6" s="257" t="s">
        <v>91</v>
      </c>
      <c r="K6" s="271">
        <f t="shared" si="0"/>
        <v>1</v>
      </c>
      <c r="L6" s="273">
        <f>IF(AND(D6="K",K6=1),'Maturity Rating'!$E$8,IF(K6="NA",K6,IF(D6="K",K6*'Maturity Rating'!$E$7,K6)))</f>
        <v>0.8</v>
      </c>
      <c r="M6" s="373"/>
      <c r="N6" s="374"/>
      <c r="O6" s="342"/>
      <c r="P6" s="21"/>
      <c r="Q6" s="244"/>
      <c r="S6" s="257">
        <f>VLOOKUP(G6,'Maturity Rating'!A$2:B$5,2,FALSE)</f>
        <v>1</v>
      </c>
      <c r="T6" s="257">
        <f>VLOOKUP(H6,'Maturity Rating'!A$8:B$11,2,FALSE)</f>
        <v>1</v>
      </c>
      <c r="U6" s="257" t="str">
        <f>VLOOKUP(I6,'Maturity Rating'!A$14:B$17,2,FALSE)</f>
        <v>NA</v>
      </c>
      <c r="V6" s="257" t="str">
        <f>VLOOKUP(J6,'Maturity Rating'!A$20:B$23,2,FALSE)</f>
        <v>NA</v>
      </c>
      <c r="W6" s="24" t="str">
        <f t="shared" si="1"/>
        <v>11NANA</v>
      </c>
    </row>
    <row r="7" spans="1:24" ht="29">
      <c r="A7" s="257">
        <v>5.4</v>
      </c>
      <c r="B7" s="378"/>
      <c r="C7" s="365"/>
      <c r="D7" s="257"/>
      <c r="E7" s="266" t="s">
        <v>226</v>
      </c>
      <c r="F7" s="257" t="s">
        <v>89</v>
      </c>
      <c r="G7" s="257" t="s">
        <v>127</v>
      </c>
      <c r="H7" s="55" t="s">
        <v>91</v>
      </c>
      <c r="I7" s="55" t="s">
        <v>206</v>
      </c>
      <c r="J7" s="257" t="s">
        <v>102</v>
      </c>
      <c r="K7" s="271">
        <f t="shared" si="0"/>
        <v>1</v>
      </c>
      <c r="L7" s="273">
        <f>IF(AND(D7="K",K7=1),'Maturity Rating'!$E$8,IF(K7="NA",K7,IF(D7="K",K7*'Maturity Rating'!$E$7,K7)))</f>
        <v>1</v>
      </c>
      <c r="M7" s="373"/>
      <c r="N7" s="374"/>
      <c r="O7" s="342"/>
      <c r="P7" s="21"/>
      <c r="Q7" s="244"/>
      <c r="S7" s="257">
        <f>VLOOKUP(G7,'Maturity Rating'!A$2:B$5,2,FALSE)</f>
        <v>1</v>
      </c>
      <c r="T7" s="257" t="str">
        <f>VLOOKUP(H7,'Maturity Rating'!A$8:B$11,2,FALSE)</f>
        <v>NA</v>
      </c>
      <c r="U7" s="257">
        <f>VLOOKUP(I7,'Maturity Rating'!A$14:B$17,2,FALSE)</f>
        <v>1</v>
      </c>
      <c r="V7" s="257">
        <f>VLOOKUP(J7,'Maturity Rating'!A$20:B$23,2,FALSE)</f>
        <v>1</v>
      </c>
      <c r="W7" s="24" t="str">
        <f t="shared" si="1"/>
        <v>1NA11</v>
      </c>
    </row>
    <row r="8" spans="1:24" ht="37.5" customHeight="1">
      <c r="A8" s="257">
        <v>5.5</v>
      </c>
      <c r="B8" s="378"/>
      <c r="C8" s="365"/>
      <c r="D8" s="257"/>
      <c r="E8" s="266" t="s">
        <v>227</v>
      </c>
      <c r="F8" s="257" t="s">
        <v>89</v>
      </c>
      <c r="G8" s="257" t="s">
        <v>127</v>
      </c>
      <c r="H8" s="55" t="s">
        <v>95</v>
      </c>
      <c r="I8" s="55" t="s">
        <v>206</v>
      </c>
      <c r="J8" s="257" t="s">
        <v>102</v>
      </c>
      <c r="K8" s="271">
        <f t="shared" si="0"/>
        <v>1</v>
      </c>
      <c r="L8" s="273">
        <f>IF(AND(D8="K",K8=1),'Maturity Rating'!$E$8,IF(K8="NA",K8,IF(D8="K",K8*'Maturity Rating'!$E$7,K8)))</f>
        <v>1</v>
      </c>
      <c r="M8" s="373"/>
      <c r="N8" s="374"/>
      <c r="O8" s="342"/>
      <c r="P8" s="21"/>
      <c r="Q8" s="244"/>
      <c r="S8" s="257">
        <f>VLOOKUP(G8,'Maturity Rating'!A$2:B$5,2,FALSE)</f>
        <v>1</v>
      </c>
      <c r="T8" s="257">
        <f>VLOOKUP(H8,'Maturity Rating'!A$8:B$11,2,FALSE)</f>
        <v>1</v>
      </c>
      <c r="U8" s="257">
        <f>VLOOKUP(I8,'Maturity Rating'!A$14:B$17,2,FALSE)</f>
        <v>1</v>
      </c>
      <c r="V8" s="257">
        <f>VLOOKUP(J8,'Maturity Rating'!A$20:B$23,2,FALSE)</f>
        <v>1</v>
      </c>
      <c r="W8" s="24" t="str">
        <f t="shared" si="1"/>
        <v>1111</v>
      </c>
    </row>
    <row r="9" spans="1:24" ht="29.5" thickBot="1">
      <c r="A9" s="259">
        <v>5.6</v>
      </c>
      <c r="B9" s="379"/>
      <c r="C9" s="367"/>
      <c r="D9" s="259"/>
      <c r="E9" s="268" t="s">
        <v>228</v>
      </c>
      <c r="F9" s="259" t="s">
        <v>89</v>
      </c>
      <c r="G9" s="257" t="s">
        <v>127</v>
      </c>
      <c r="H9" s="259" t="s">
        <v>95</v>
      </c>
      <c r="I9" s="259" t="s">
        <v>91</v>
      </c>
      <c r="J9" s="259" t="s">
        <v>91</v>
      </c>
      <c r="K9" s="272">
        <f t="shared" si="0"/>
        <v>1</v>
      </c>
      <c r="L9" s="272">
        <f>IF(AND(D9="K",K9=1),'Maturity Rating'!$E$8,IF(K9="NA",K9,IF(D9="K",K9*'Maturity Rating'!$E$7,K9)))</f>
        <v>1</v>
      </c>
      <c r="M9" s="370"/>
      <c r="N9" s="372"/>
      <c r="O9" s="343"/>
      <c r="P9" s="21"/>
      <c r="Q9" s="244"/>
      <c r="S9" s="257">
        <f>VLOOKUP(G9,'Maturity Rating'!A$2:B$5,2,FALSE)</f>
        <v>1</v>
      </c>
      <c r="T9" s="257">
        <f>VLOOKUP(H9,'Maturity Rating'!A$8:B$11,2,FALSE)</f>
        <v>1</v>
      </c>
      <c r="U9" s="257" t="str">
        <f>VLOOKUP(I9,'Maturity Rating'!A$14:B$17,2,FALSE)</f>
        <v>NA</v>
      </c>
      <c r="V9" s="257" t="str">
        <f>VLOOKUP(J9,'Maturity Rating'!A$20:B$23,2,FALSE)</f>
        <v>NA</v>
      </c>
      <c r="W9" s="24" t="str">
        <f t="shared" si="1"/>
        <v>11NANA</v>
      </c>
    </row>
    <row r="10" spans="1:24" ht="30" customHeight="1">
      <c r="A10" s="36">
        <v>5.7</v>
      </c>
      <c r="B10" s="377" t="s">
        <v>229</v>
      </c>
      <c r="C10" s="368" t="s">
        <v>230</v>
      </c>
      <c r="D10" s="256"/>
      <c r="E10" s="277" t="s">
        <v>231</v>
      </c>
      <c r="F10" s="256" t="s">
        <v>89</v>
      </c>
      <c r="G10" s="256" t="s">
        <v>118</v>
      </c>
      <c r="H10" s="256" t="s">
        <v>100</v>
      </c>
      <c r="I10" s="256" t="s">
        <v>120</v>
      </c>
      <c r="J10" s="256" t="s">
        <v>129</v>
      </c>
      <c r="K10" s="278">
        <f t="shared" si="0"/>
        <v>3</v>
      </c>
      <c r="L10" s="278">
        <f>IF(AND(D10="K",K10=1),'Maturity Rating'!$E$8,IF(K10="NA",K10,IF(D10="K",K10*'Maturity Rating'!$E$7,K10)))</f>
        <v>3</v>
      </c>
      <c r="M10" s="380">
        <f>IF(X10="NANANANANANANANA",K10,AVERAGE(L10:L15))</f>
        <v>2.2666666666666666</v>
      </c>
      <c r="N10" s="338">
        <f>IF(M10&lt;1.1,1,IF(M10="NA",M10,(MIN(5,M10/3*5))))</f>
        <v>3.7777777777777777</v>
      </c>
      <c r="O10" s="341" t="str">
        <f>IF(N10="NA",N10,VLOOKUP(Q10,'Maturity Rating'!G4:H8,2,FALSE))</f>
        <v>Defined</v>
      </c>
      <c r="P10" s="21"/>
      <c r="Q10" s="244">
        <f>IF(N10="NA",N10,ROUNDDOWN(N10,0))</f>
        <v>3</v>
      </c>
      <c r="S10" s="257">
        <f>VLOOKUP(G10,'Maturity Rating'!A$2:B$5,2,FALSE)</f>
        <v>3</v>
      </c>
      <c r="T10" s="257">
        <f>VLOOKUP(H10,'Maturity Rating'!A$8:B$11,2,FALSE)</f>
        <v>3</v>
      </c>
      <c r="U10" s="257">
        <f>VLOOKUP(I10,'Maturity Rating'!A$14:B$17,2,FALSE)</f>
        <v>3</v>
      </c>
      <c r="V10" s="257">
        <f>VLOOKUP(J10,'Maturity Rating'!A$20:B$23,2,FALSE)</f>
        <v>3</v>
      </c>
      <c r="W10" s="24" t="str">
        <f t="shared" si="1"/>
        <v>3333</v>
      </c>
      <c r="X10" s="24" t="str">
        <f>CONCATENATE(L10,L11,L12,L13,L14,L15)</f>
        <v>323.6311</v>
      </c>
    </row>
    <row r="11" spans="1:24" ht="34.5" customHeight="1">
      <c r="A11" s="74">
        <v>5.8</v>
      </c>
      <c r="B11" s="378"/>
      <c r="C11" s="365"/>
      <c r="D11" s="257"/>
      <c r="E11" s="266" t="s">
        <v>93</v>
      </c>
      <c r="F11" s="257" t="s">
        <v>89</v>
      </c>
      <c r="G11" s="257" t="s">
        <v>90</v>
      </c>
      <c r="H11" s="257" t="s">
        <v>125</v>
      </c>
      <c r="I11" s="257" t="s">
        <v>101</v>
      </c>
      <c r="J11" s="257" t="s">
        <v>464</v>
      </c>
      <c r="K11" s="271">
        <f t="shared" si="0"/>
        <v>2</v>
      </c>
      <c r="L11" s="273">
        <f>IF(AND(D11="K",K11=1),'Maturity Rating'!$E$8,IF(K11="NA",K11,IF(D11="K",K11*'Maturity Rating'!$E$7,K11)))</f>
        <v>2</v>
      </c>
      <c r="M11" s="373"/>
      <c r="N11" s="339"/>
      <c r="O11" s="342"/>
      <c r="P11" s="21"/>
      <c r="Q11" s="21"/>
      <c r="S11" s="257">
        <f>VLOOKUP(G11,'Maturity Rating'!A$2:B$5,2,FALSE)</f>
        <v>2</v>
      </c>
      <c r="T11" s="257">
        <f>VLOOKUP(H11,'Maturity Rating'!A$8:B$11,2,FALSE)</f>
        <v>2</v>
      </c>
      <c r="U11" s="257">
        <f>VLOOKUP(I11,'Maturity Rating'!A$14:B$17,2,FALSE)</f>
        <v>2</v>
      </c>
      <c r="V11" s="257">
        <f>VLOOKUP(J11,'Maturity Rating'!A$20:B$23,2,FALSE)</f>
        <v>2</v>
      </c>
      <c r="W11" s="24" t="str">
        <f t="shared" si="1"/>
        <v>2222</v>
      </c>
    </row>
    <row r="12" spans="1:24" ht="34.5" customHeight="1">
      <c r="A12" s="74">
        <v>5.9</v>
      </c>
      <c r="B12" s="378"/>
      <c r="C12" s="365"/>
      <c r="D12" s="257" t="s">
        <v>87</v>
      </c>
      <c r="E12" s="52" t="s">
        <v>232</v>
      </c>
      <c r="F12" s="257" t="s">
        <v>89</v>
      </c>
      <c r="G12" s="257" t="s">
        <v>118</v>
      </c>
      <c r="H12" s="55" t="s">
        <v>100</v>
      </c>
      <c r="I12" s="55" t="s">
        <v>120</v>
      </c>
      <c r="J12" s="257" t="s">
        <v>129</v>
      </c>
      <c r="K12" s="271">
        <f t="shared" si="0"/>
        <v>3</v>
      </c>
      <c r="L12" s="273">
        <f>IF(AND(D12="K",K12=1),'Maturity Rating'!$E$8,IF(K12="NA",K12,IF(D12="K",K12*'Maturity Rating'!$E$7,K12)))</f>
        <v>3.5999999999999996</v>
      </c>
      <c r="M12" s="373"/>
      <c r="N12" s="339"/>
      <c r="O12" s="342"/>
      <c r="P12" s="21"/>
      <c r="Q12" s="21"/>
      <c r="S12" s="257">
        <f>VLOOKUP(G12,'Maturity Rating'!A$2:B$5,2,FALSE)</f>
        <v>3</v>
      </c>
      <c r="T12" s="257">
        <f>VLOOKUP(H12,'Maturity Rating'!A$8:B$11,2,FALSE)</f>
        <v>3</v>
      </c>
      <c r="U12" s="257">
        <f>VLOOKUP(I12,'Maturity Rating'!A$14:B$17,2,FALSE)</f>
        <v>3</v>
      </c>
      <c r="V12" s="257">
        <f>VLOOKUP(J12,'Maturity Rating'!A$20:B$23,2,FALSE)</f>
        <v>3</v>
      </c>
      <c r="W12" s="24" t="str">
        <f t="shared" si="1"/>
        <v>3333</v>
      </c>
    </row>
    <row r="13" spans="1:24" ht="34.5" customHeight="1">
      <c r="A13" s="74" t="s">
        <v>233</v>
      </c>
      <c r="B13" s="378"/>
      <c r="C13" s="365"/>
      <c r="D13" s="257"/>
      <c r="E13" s="266" t="s">
        <v>234</v>
      </c>
      <c r="F13" s="257" t="s">
        <v>89</v>
      </c>
      <c r="G13" s="257" t="s">
        <v>118</v>
      </c>
      <c r="H13" s="257" t="s">
        <v>100</v>
      </c>
      <c r="I13" s="55" t="s">
        <v>120</v>
      </c>
      <c r="J13" s="257" t="s">
        <v>129</v>
      </c>
      <c r="K13" s="271">
        <f t="shared" si="0"/>
        <v>3</v>
      </c>
      <c r="L13" s="273">
        <f>IF(AND(D13="K",K13=1),'Maturity Rating'!$E$8,IF(K13="NA",K13,IF(D13="K",K13*'Maturity Rating'!$E$7,K13)))</f>
        <v>3</v>
      </c>
      <c r="M13" s="373"/>
      <c r="N13" s="339"/>
      <c r="O13" s="342"/>
      <c r="P13" s="21"/>
      <c r="Q13" s="21"/>
      <c r="S13" s="257">
        <f>VLOOKUP(G13,'Maturity Rating'!A$2:B$5,2,FALSE)</f>
        <v>3</v>
      </c>
      <c r="T13" s="257">
        <f>VLOOKUP(H13,'Maturity Rating'!A$8:B$11,2,FALSE)</f>
        <v>3</v>
      </c>
      <c r="U13" s="257">
        <f>VLOOKUP(I13,'Maturity Rating'!A$14:B$17,2,FALSE)</f>
        <v>3</v>
      </c>
      <c r="V13" s="257">
        <f>VLOOKUP(J13,'Maturity Rating'!A$20:B$23,2,FALSE)</f>
        <v>3</v>
      </c>
      <c r="W13" s="24" t="str">
        <f t="shared" si="1"/>
        <v>3333</v>
      </c>
    </row>
    <row r="14" spans="1:24" ht="29">
      <c r="A14" s="74">
        <v>5.1100000000000003</v>
      </c>
      <c r="B14" s="378"/>
      <c r="C14" s="365"/>
      <c r="D14" s="257"/>
      <c r="E14" s="266" t="s">
        <v>235</v>
      </c>
      <c r="F14" s="257" t="s">
        <v>105</v>
      </c>
      <c r="G14" s="257" t="s">
        <v>127</v>
      </c>
      <c r="H14" s="257" t="s">
        <v>95</v>
      </c>
      <c r="I14" s="257" t="s">
        <v>206</v>
      </c>
      <c r="J14" s="257" t="s">
        <v>102</v>
      </c>
      <c r="K14" s="271">
        <f t="shared" si="0"/>
        <v>1</v>
      </c>
      <c r="L14" s="273">
        <f>IF(AND(D14="K",K14=1),'Maturity Rating'!$E$8,IF(K14="NA",K14,IF(D14="K",K14*'Maturity Rating'!$E$7,K14)))</f>
        <v>1</v>
      </c>
      <c r="M14" s="373"/>
      <c r="N14" s="339"/>
      <c r="O14" s="342"/>
      <c r="P14" s="21"/>
      <c r="Q14" s="21"/>
      <c r="S14" s="257">
        <f>VLOOKUP(G14,'Maturity Rating'!A$2:B$5,2,FALSE)</f>
        <v>1</v>
      </c>
      <c r="T14" s="257">
        <f>VLOOKUP(H14,'Maturity Rating'!A$8:B$11,2,FALSE)</f>
        <v>1</v>
      </c>
      <c r="U14" s="257">
        <f>VLOOKUP(I14,'Maturity Rating'!A$14:B$17,2,FALSE)</f>
        <v>1</v>
      </c>
      <c r="V14" s="257">
        <f>VLOOKUP(J14,'Maturity Rating'!A$20:B$23,2,FALSE)</f>
        <v>1</v>
      </c>
      <c r="W14" s="24" t="str">
        <f t="shared" si="1"/>
        <v>1111</v>
      </c>
    </row>
    <row r="15" spans="1:24" ht="29.5" thickBot="1">
      <c r="A15" s="75">
        <v>5.12</v>
      </c>
      <c r="B15" s="379"/>
      <c r="C15" s="367"/>
      <c r="D15" s="259"/>
      <c r="E15" s="268" t="s">
        <v>236</v>
      </c>
      <c r="F15" s="259" t="s">
        <v>105</v>
      </c>
      <c r="G15" s="259" t="s">
        <v>127</v>
      </c>
      <c r="H15" s="259" t="s">
        <v>91</v>
      </c>
      <c r="I15" s="259" t="s">
        <v>91</v>
      </c>
      <c r="J15" s="259" t="s">
        <v>91</v>
      </c>
      <c r="K15" s="262">
        <f t="shared" ref="K15" si="2">IF(W15="NANANANA",S15,IF(AND(OR(G15="Formally Documented",G15="Informally Documented"),H15="Not Implemented"),0.5*AVERAGE(S15:V15),AVERAGE(S15:V15)))</f>
        <v>1</v>
      </c>
      <c r="L15" s="272">
        <f>IF(AND(D15="K",K15=1),'Maturity Rating'!$E$8,IF(K15="NA",K15,IF(D15="K",K15*'Maturity Rating'!$E$7,K15)))</f>
        <v>1</v>
      </c>
      <c r="M15" s="370"/>
      <c r="N15" s="340"/>
      <c r="O15" s="343"/>
      <c r="P15" s="21"/>
      <c r="Q15" s="21"/>
      <c r="S15" s="257">
        <f>VLOOKUP(G15,'Maturity Rating'!A$2:B$5,2,FALSE)</f>
        <v>1</v>
      </c>
      <c r="T15" s="257" t="str">
        <f>VLOOKUP(H15,'Maturity Rating'!A$8:B$11,2,FALSE)</f>
        <v>NA</v>
      </c>
      <c r="U15" s="257" t="str">
        <f>VLOOKUP(I15,'Maturity Rating'!A$14:B$17,2,FALSE)</f>
        <v>NA</v>
      </c>
      <c r="V15" s="257" t="str">
        <f>VLOOKUP(J15,'Maturity Rating'!A$20:B$23,2,FALSE)</f>
        <v>NA</v>
      </c>
      <c r="W15" s="24" t="str">
        <f t="shared" si="1"/>
        <v>1NANANA</v>
      </c>
    </row>
    <row r="16" spans="1:24" ht="30" customHeight="1">
      <c r="A16" s="263">
        <v>5.14</v>
      </c>
      <c r="B16" s="382" t="s">
        <v>237</v>
      </c>
      <c r="C16" s="364" t="s">
        <v>238</v>
      </c>
      <c r="D16" s="263"/>
      <c r="E16" s="145" t="s">
        <v>239</v>
      </c>
      <c r="F16" s="263" t="s">
        <v>89</v>
      </c>
      <c r="G16" s="263" t="s">
        <v>127</v>
      </c>
      <c r="H16" s="256" t="s">
        <v>91</v>
      </c>
      <c r="I16" s="256" t="s">
        <v>91</v>
      </c>
      <c r="J16" s="256" t="s">
        <v>91</v>
      </c>
      <c r="K16" s="271">
        <f t="shared" si="0"/>
        <v>1</v>
      </c>
      <c r="L16" s="271">
        <f>IF(AND(D16="K",K16=1),'Maturity Rating'!$E$8,IF(K16="NA",K16,IF(D16="K",K16*'Maturity Rating'!$E$7,K16)))</f>
        <v>1</v>
      </c>
      <c r="M16" s="369">
        <f>IF(X16="NANANANANANANANANA",K16,AVERAGE(L16:L25))</f>
        <v>2.52</v>
      </c>
      <c r="N16" s="339">
        <f>IF(M16&lt;1.1,1,IF(M16="NA",M16,(MIN(5,M16/3*5))))</f>
        <v>4.2</v>
      </c>
      <c r="O16" s="351" t="str">
        <f>IF(N16="NA",N16,VLOOKUP(Q16,'Maturity Rating'!G4:H8,2,FALSE))</f>
        <v>Repeatable</v>
      </c>
      <c r="P16" s="21"/>
      <c r="Q16" s="244">
        <f>IF(N16="NA",N16,ROUNDDOWN(N16,0))</f>
        <v>4</v>
      </c>
      <c r="S16" s="257">
        <f>VLOOKUP(G16,'Maturity Rating'!A$2:B$5,2,FALSE)</f>
        <v>1</v>
      </c>
      <c r="T16" s="257" t="str">
        <f>VLOOKUP(H16,'Maturity Rating'!A$8:B$11,2,FALSE)</f>
        <v>NA</v>
      </c>
      <c r="U16" s="257" t="str">
        <f>VLOOKUP(I16,'Maturity Rating'!A$14:B$17,2,FALSE)</f>
        <v>NA</v>
      </c>
      <c r="V16" s="257" t="str">
        <f>VLOOKUP(J16,'Maturity Rating'!A$20:B$23,2,FALSE)</f>
        <v>NA</v>
      </c>
      <c r="W16" s="24" t="str">
        <f t="shared" si="1"/>
        <v>1NANANA</v>
      </c>
      <c r="X16" s="24" t="str">
        <f>CONCATENATE(L16,L17,L18,L19,L20,L21,L22,L23,L24,L25)</f>
        <v>113.6133.63333</v>
      </c>
    </row>
    <row r="17" spans="1:24" ht="30" customHeight="1">
      <c r="A17" s="257">
        <v>5.15</v>
      </c>
      <c r="B17" s="378"/>
      <c r="C17" s="365"/>
      <c r="D17" s="257"/>
      <c r="E17" s="132" t="s">
        <v>93</v>
      </c>
      <c r="F17" s="257" t="s">
        <v>89</v>
      </c>
      <c r="G17" s="257" t="s">
        <v>127</v>
      </c>
      <c r="H17" s="257" t="s">
        <v>91</v>
      </c>
      <c r="I17" s="257" t="s">
        <v>91</v>
      </c>
      <c r="J17" s="257" t="s">
        <v>91</v>
      </c>
      <c r="K17" s="271">
        <f t="shared" si="0"/>
        <v>1</v>
      </c>
      <c r="L17" s="273">
        <f>IF(AND(D17="K",K17=1),'Maturity Rating'!$E$8,IF(K17="NA",K17,IF(D17="K",K17*'Maturity Rating'!$E$7,K17)))</f>
        <v>1</v>
      </c>
      <c r="M17" s="373"/>
      <c r="N17" s="339"/>
      <c r="O17" s="342"/>
      <c r="P17" s="21"/>
      <c r="Q17" s="21"/>
      <c r="S17" s="257">
        <f>VLOOKUP(G17,'Maturity Rating'!A$2:B$5,2,FALSE)</f>
        <v>1</v>
      </c>
      <c r="T17" s="257" t="str">
        <f>VLOOKUP(H17,'Maturity Rating'!A$8:B$11,2,FALSE)</f>
        <v>NA</v>
      </c>
      <c r="U17" s="257" t="str">
        <f>VLOOKUP(I17,'Maturity Rating'!A$14:B$17,2,FALSE)</f>
        <v>NA</v>
      </c>
      <c r="V17" s="257" t="str">
        <f>VLOOKUP(J17,'Maturity Rating'!A$20:B$23,2,FALSE)</f>
        <v>NA</v>
      </c>
      <c r="W17" s="24" t="str">
        <f t="shared" si="1"/>
        <v>1NANANA</v>
      </c>
    </row>
    <row r="18" spans="1:24">
      <c r="A18" s="257">
        <v>5.16</v>
      </c>
      <c r="B18" s="378"/>
      <c r="C18" s="365"/>
      <c r="D18" s="257" t="s">
        <v>87</v>
      </c>
      <c r="E18" s="141" t="s">
        <v>240</v>
      </c>
      <c r="F18" s="257" t="s">
        <v>89</v>
      </c>
      <c r="G18" s="257" t="s">
        <v>118</v>
      </c>
      <c r="H18" s="55" t="s">
        <v>100</v>
      </c>
      <c r="I18" s="55" t="s">
        <v>120</v>
      </c>
      <c r="J18" s="257" t="s">
        <v>129</v>
      </c>
      <c r="K18" s="271">
        <f t="shared" si="0"/>
        <v>3</v>
      </c>
      <c r="L18" s="273">
        <f>IF(AND(D18="K",K18=1),'Maturity Rating'!$E$8,IF(K18="NA",K18,IF(D18="K",K18*'Maturity Rating'!$E$7,K18)))</f>
        <v>3.5999999999999996</v>
      </c>
      <c r="M18" s="373"/>
      <c r="N18" s="339"/>
      <c r="O18" s="342"/>
      <c r="P18" s="21"/>
      <c r="Q18" s="21"/>
      <c r="S18" s="257">
        <f>VLOOKUP(G18,'Maturity Rating'!A$2:B$5,2,FALSE)</f>
        <v>3</v>
      </c>
      <c r="T18" s="257">
        <f>VLOOKUP(H18,'Maturity Rating'!A$8:B$11,2,FALSE)</f>
        <v>3</v>
      </c>
      <c r="U18" s="257">
        <f>VLOOKUP(I18,'Maturity Rating'!A$14:B$17,2,FALSE)</f>
        <v>3</v>
      </c>
      <c r="V18" s="257">
        <f>VLOOKUP(J18,'Maturity Rating'!A$20:B$23,2,FALSE)</f>
        <v>3</v>
      </c>
      <c r="W18" s="24" t="str">
        <f t="shared" si="1"/>
        <v>3333</v>
      </c>
    </row>
    <row r="19" spans="1:24" ht="29">
      <c r="A19" s="257">
        <v>5.17</v>
      </c>
      <c r="B19" s="378"/>
      <c r="C19" s="365"/>
      <c r="D19" s="257"/>
      <c r="E19" s="132" t="s">
        <v>241</v>
      </c>
      <c r="F19" s="257" t="s">
        <v>89</v>
      </c>
      <c r="G19" s="257" t="s">
        <v>127</v>
      </c>
      <c r="H19" s="55" t="s">
        <v>91</v>
      </c>
      <c r="I19" s="55" t="s">
        <v>91</v>
      </c>
      <c r="J19" s="257" t="s">
        <v>91</v>
      </c>
      <c r="K19" s="271">
        <f t="shared" si="0"/>
        <v>1</v>
      </c>
      <c r="L19" s="273">
        <f>IF(AND(D19="K",K19=1),'Maturity Rating'!$E$8,IF(K19="NA",K19,IF(D19="K",K19*'Maturity Rating'!$E$7,K19)))</f>
        <v>1</v>
      </c>
      <c r="M19" s="373"/>
      <c r="N19" s="339"/>
      <c r="O19" s="342"/>
      <c r="P19" s="21"/>
      <c r="Q19" s="21"/>
      <c r="S19" s="257">
        <f>VLOOKUP(G19,'Maturity Rating'!A$2:B$5,2,FALSE)</f>
        <v>1</v>
      </c>
      <c r="T19" s="257" t="str">
        <f>VLOOKUP(H19,'Maturity Rating'!A$8:B$11,2,FALSE)</f>
        <v>NA</v>
      </c>
      <c r="U19" s="257" t="str">
        <f>VLOOKUP(I19,'Maturity Rating'!A$14:B$17,2,FALSE)</f>
        <v>NA</v>
      </c>
      <c r="V19" s="257" t="str">
        <f>VLOOKUP(J19,'Maturity Rating'!A$20:B$23,2,FALSE)</f>
        <v>NA</v>
      </c>
      <c r="W19" s="24" t="str">
        <f t="shared" si="1"/>
        <v>1NANANA</v>
      </c>
    </row>
    <row r="20" spans="1:24">
      <c r="A20" s="257">
        <v>5.18</v>
      </c>
      <c r="B20" s="378"/>
      <c r="C20" s="365"/>
      <c r="D20" s="257"/>
      <c r="E20" s="132" t="s">
        <v>242</v>
      </c>
      <c r="F20" s="257" t="s">
        <v>89</v>
      </c>
      <c r="G20" s="257" t="s">
        <v>118</v>
      </c>
      <c r="H20" s="55" t="s">
        <v>100</v>
      </c>
      <c r="I20" s="55" t="s">
        <v>120</v>
      </c>
      <c r="J20" s="257" t="s">
        <v>129</v>
      </c>
      <c r="K20" s="271">
        <f t="shared" si="0"/>
        <v>3</v>
      </c>
      <c r="L20" s="273">
        <f>IF(AND(D20="K",K20=1),'Maturity Rating'!$E$8,IF(K20="NA",K20,IF(D20="K",K20*'Maturity Rating'!$E$7,K20)))</f>
        <v>3</v>
      </c>
      <c r="M20" s="373"/>
      <c r="N20" s="339"/>
      <c r="O20" s="342"/>
      <c r="P20" s="21"/>
      <c r="Q20" s="21"/>
      <c r="S20" s="257">
        <f>VLOOKUP(G20,'Maturity Rating'!A$2:B$5,2,FALSE)</f>
        <v>3</v>
      </c>
      <c r="T20" s="257">
        <f>VLOOKUP(H20,'Maturity Rating'!A$8:B$11,2,FALSE)</f>
        <v>3</v>
      </c>
      <c r="U20" s="257">
        <f>VLOOKUP(I20,'Maturity Rating'!A$14:B$17,2,FALSE)</f>
        <v>3</v>
      </c>
      <c r="V20" s="257">
        <f>VLOOKUP(J20,'Maturity Rating'!A$20:B$23,2,FALSE)</f>
        <v>3</v>
      </c>
      <c r="W20" s="24" t="str">
        <f t="shared" si="1"/>
        <v>3333</v>
      </c>
    </row>
    <row r="21" spans="1:24" ht="21.5" customHeight="1">
      <c r="A21" s="257">
        <v>5.19</v>
      </c>
      <c r="B21" s="378"/>
      <c r="C21" s="365"/>
      <c r="D21" s="257" t="s">
        <v>87</v>
      </c>
      <c r="E21" s="141" t="s">
        <v>243</v>
      </c>
      <c r="F21" s="257" t="s">
        <v>105</v>
      </c>
      <c r="G21" s="257" t="s">
        <v>118</v>
      </c>
      <c r="H21" s="55" t="s">
        <v>100</v>
      </c>
      <c r="I21" s="55" t="s">
        <v>120</v>
      </c>
      <c r="J21" s="257" t="s">
        <v>129</v>
      </c>
      <c r="K21" s="271">
        <f t="shared" si="0"/>
        <v>3</v>
      </c>
      <c r="L21" s="273">
        <f>IF(AND(D21="K",K21=1),'Maturity Rating'!$E$8,IF(K21="NA",K21,IF(D21="K",K21*'Maturity Rating'!$E$7,K21)))</f>
        <v>3.5999999999999996</v>
      </c>
      <c r="M21" s="373"/>
      <c r="N21" s="339"/>
      <c r="O21" s="342"/>
      <c r="P21" s="21"/>
      <c r="Q21" s="21"/>
      <c r="S21" s="257">
        <f>VLOOKUP(G21,'Maturity Rating'!A$2:B$5,2,FALSE)</f>
        <v>3</v>
      </c>
      <c r="T21" s="257">
        <f>VLOOKUP(H21,'Maturity Rating'!A$8:B$11,2,FALSE)</f>
        <v>3</v>
      </c>
      <c r="U21" s="257">
        <f>VLOOKUP(I21,'Maturity Rating'!A$14:B$17,2,FALSE)</f>
        <v>3</v>
      </c>
      <c r="V21" s="257">
        <f>VLOOKUP(J21,'Maturity Rating'!A$20:B$23,2,FALSE)</f>
        <v>3</v>
      </c>
      <c r="W21" s="24" t="str">
        <f t="shared" si="1"/>
        <v>3333</v>
      </c>
    </row>
    <row r="22" spans="1:24" ht="25" customHeight="1">
      <c r="A22" s="257" t="s">
        <v>244</v>
      </c>
      <c r="B22" s="378"/>
      <c r="C22" s="365"/>
      <c r="D22" s="257"/>
      <c r="E22" s="132" t="s">
        <v>245</v>
      </c>
      <c r="F22" s="257" t="s">
        <v>89</v>
      </c>
      <c r="G22" s="257" t="s">
        <v>118</v>
      </c>
      <c r="H22" s="55" t="s">
        <v>100</v>
      </c>
      <c r="I22" s="55" t="s">
        <v>120</v>
      </c>
      <c r="J22" s="257" t="s">
        <v>129</v>
      </c>
      <c r="K22" s="271">
        <f t="shared" si="0"/>
        <v>3</v>
      </c>
      <c r="L22" s="273">
        <f>IF(AND(D22="K",K22=1),'Maturity Rating'!$E$8,IF(K22="NA",K22,IF(D22="K",K22*'Maturity Rating'!$E$7,K22)))</f>
        <v>3</v>
      </c>
      <c r="M22" s="373"/>
      <c r="N22" s="339"/>
      <c r="O22" s="342"/>
      <c r="P22" s="21"/>
      <c r="Q22" s="21"/>
      <c r="S22" s="257">
        <f>VLOOKUP(G22,'Maturity Rating'!A$2:B$5,2,FALSE)</f>
        <v>3</v>
      </c>
      <c r="T22" s="257">
        <f>VLOOKUP(H22,'Maturity Rating'!A$8:B$11,2,FALSE)</f>
        <v>3</v>
      </c>
      <c r="U22" s="257">
        <f>VLOOKUP(I22,'Maturity Rating'!A$14:B$17,2,FALSE)</f>
        <v>3</v>
      </c>
      <c r="V22" s="257">
        <f>VLOOKUP(J22,'Maturity Rating'!A$20:B$23,2,FALSE)</f>
        <v>3</v>
      </c>
      <c r="W22" s="24" t="str">
        <f t="shared" si="1"/>
        <v>3333</v>
      </c>
    </row>
    <row r="23" spans="1:24" ht="28" customHeight="1">
      <c r="A23" s="258">
        <v>5.21</v>
      </c>
      <c r="B23" s="378"/>
      <c r="C23" s="365"/>
      <c r="D23" s="257"/>
      <c r="E23" s="132" t="s">
        <v>246</v>
      </c>
      <c r="F23" s="257" t="s">
        <v>105</v>
      </c>
      <c r="G23" s="257" t="s">
        <v>118</v>
      </c>
      <c r="H23" s="55" t="s">
        <v>100</v>
      </c>
      <c r="I23" s="55" t="s">
        <v>120</v>
      </c>
      <c r="J23" s="257" t="s">
        <v>129</v>
      </c>
      <c r="K23" s="271">
        <f t="shared" si="0"/>
        <v>3</v>
      </c>
      <c r="L23" s="273">
        <f>IF(AND(D23="K",K23=1),'Maturity Rating'!$E$8,IF(K23="NA",K23,IF(D23="K",K23*'Maturity Rating'!$E$7,K23)))</f>
        <v>3</v>
      </c>
      <c r="M23" s="373"/>
      <c r="N23" s="339"/>
      <c r="O23" s="342"/>
      <c r="P23" s="21"/>
      <c r="Q23" s="21"/>
      <c r="S23" s="257">
        <f>VLOOKUP(G23,'Maturity Rating'!A$2:B$5,2,FALSE)</f>
        <v>3</v>
      </c>
      <c r="T23" s="257">
        <f>VLOOKUP(H23,'Maturity Rating'!A$8:B$11,2,FALSE)</f>
        <v>3</v>
      </c>
      <c r="U23" s="257">
        <f>VLOOKUP(I23,'Maturity Rating'!A$14:B$17,2,FALSE)</f>
        <v>3</v>
      </c>
      <c r="V23" s="257">
        <f>VLOOKUP(J23,'Maturity Rating'!A$20:B$23,2,FALSE)</f>
        <v>3</v>
      </c>
      <c r="W23" s="24" t="str">
        <f t="shared" si="1"/>
        <v>3333</v>
      </c>
    </row>
    <row r="24" spans="1:24">
      <c r="A24" s="258">
        <v>5.22</v>
      </c>
      <c r="B24" s="383"/>
      <c r="C24" s="366"/>
      <c r="D24" s="258"/>
      <c r="E24" s="144" t="s">
        <v>247</v>
      </c>
      <c r="F24" s="258" t="s">
        <v>89</v>
      </c>
      <c r="G24" s="257" t="s">
        <v>118</v>
      </c>
      <c r="H24" s="55" t="s">
        <v>100</v>
      </c>
      <c r="I24" s="55" t="s">
        <v>120</v>
      </c>
      <c r="J24" s="257" t="s">
        <v>129</v>
      </c>
      <c r="K24" s="271">
        <f t="shared" ref="K24" si="3">IF(W24="NANANANA",S24,IF(AND(OR(G24="Formally Documented",G24="Informally Documented"),H24="Not Implemented"),0.5*AVERAGE(S24:V24),AVERAGE(S24:V24)))</f>
        <v>3</v>
      </c>
      <c r="L24" s="273">
        <f>IF(AND(D24="K",K24=1),'Maturity Rating'!$E$8,IF(K24="NA",K24,IF(D24="K",K24*'Maturity Rating'!$E$7,K24)))</f>
        <v>3</v>
      </c>
      <c r="M24" s="384"/>
      <c r="N24" s="339"/>
      <c r="O24" s="352"/>
      <c r="P24" s="21"/>
      <c r="Q24" s="21"/>
      <c r="S24" s="257">
        <f>VLOOKUP(G24,'Maturity Rating'!A$2:B$5,2,FALSE)</f>
        <v>3</v>
      </c>
      <c r="T24" s="257">
        <f>VLOOKUP(H24,'Maturity Rating'!A$8:B$11,2,FALSE)</f>
        <v>3</v>
      </c>
      <c r="U24" s="257">
        <f>VLOOKUP(I24,'Maturity Rating'!A$14:B$17,2,FALSE)</f>
        <v>3</v>
      </c>
      <c r="V24" s="257">
        <f>VLOOKUP(J24,'Maturity Rating'!A$20:B$23,2,FALSE)</f>
        <v>3</v>
      </c>
      <c r="W24" s="24" t="str">
        <f t="shared" ref="W24" si="4">CONCATENATE(S24,T24,U24,V24)</f>
        <v>3333</v>
      </c>
    </row>
    <row r="25" spans="1:24" ht="15" thickBot="1">
      <c r="A25" s="259">
        <v>5.23</v>
      </c>
      <c r="B25" s="379"/>
      <c r="C25" s="367"/>
      <c r="D25" s="259"/>
      <c r="E25" s="142" t="s">
        <v>248</v>
      </c>
      <c r="F25" s="259" t="s">
        <v>89</v>
      </c>
      <c r="G25" s="257" t="s">
        <v>118</v>
      </c>
      <c r="H25" s="55" t="s">
        <v>100</v>
      </c>
      <c r="I25" s="259" t="s">
        <v>120</v>
      </c>
      <c r="J25" s="259" t="s">
        <v>129</v>
      </c>
      <c r="K25" s="272">
        <f t="shared" si="0"/>
        <v>3</v>
      </c>
      <c r="L25" s="272">
        <f>IF(AND(D25="K",K25=1),'Maturity Rating'!$E$8,IF(K25="NA",K25,IF(D25="K",K25*'Maturity Rating'!$E$7,K25)))</f>
        <v>3</v>
      </c>
      <c r="M25" s="370"/>
      <c r="N25" s="340"/>
      <c r="O25" s="343"/>
      <c r="P25" s="21"/>
      <c r="Q25" s="21"/>
      <c r="S25" s="257">
        <f>VLOOKUP(G25,'Maturity Rating'!A$2:B$5,2,FALSE)</f>
        <v>3</v>
      </c>
      <c r="T25" s="257">
        <f>VLOOKUP(H25,'Maturity Rating'!A$8:B$11,2,FALSE)</f>
        <v>3</v>
      </c>
      <c r="U25" s="257">
        <f>VLOOKUP(I25,'Maturity Rating'!A$14:B$17,2,FALSE)</f>
        <v>3</v>
      </c>
      <c r="V25" s="257">
        <f>VLOOKUP(J25,'Maturity Rating'!A$20:B$23,2,FALSE)</f>
        <v>3</v>
      </c>
      <c r="W25" s="24" t="str">
        <f t="shared" si="1"/>
        <v>3333</v>
      </c>
    </row>
    <row r="26" spans="1:24" ht="30" customHeight="1">
      <c r="A26" s="257">
        <v>5.24</v>
      </c>
      <c r="B26" s="382" t="s">
        <v>249</v>
      </c>
      <c r="C26" s="364" t="s">
        <v>250</v>
      </c>
      <c r="D26" s="263" t="s">
        <v>87</v>
      </c>
      <c r="E26" s="143" t="s">
        <v>251</v>
      </c>
      <c r="F26" s="263" t="s">
        <v>89</v>
      </c>
      <c r="G26" s="263" t="s">
        <v>118</v>
      </c>
      <c r="H26" s="256" t="s">
        <v>125</v>
      </c>
      <c r="I26" s="256" t="s">
        <v>101</v>
      </c>
      <c r="J26" s="256" t="s">
        <v>129</v>
      </c>
      <c r="K26" s="271">
        <f t="shared" si="0"/>
        <v>2.5</v>
      </c>
      <c r="L26" s="271">
        <f>IF(AND(D26="K",K26=1),'Maturity Rating'!$E$8,IF(K26="NA",K26,IF(D26="K",K26*'Maturity Rating'!$E$7,K26)))</f>
        <v>3</v>
      </c>
      <c r="M26" s="369">
        <f>IF(X26="NANANANANANANANANANANANA",K26,AVERAGE(L26:L35))</f>
        <v>1.3800000000000001</v>
      </c>
      <c r="N26" s="338">
        <f>IF(M26&lt;1.1,1,IF(M26="NA",M26,(MIN(5,M26/3*5))))</f>
        <v>2.3000000000000003</v>
      </c>
      <c r="O26" s="351" t="str">
        <f>IF(N26="NA",N26,VLOOKUP(Q26,'Maturity Rating'!G4:H8,2,FALSE))</f>
        <v>Partial</v>
      </c>
      <c r="P26" s="21"/>
      <c r="Q26" s="244">
        <f>IF(N26="NA",N26,ROUNDDOWN(N26,0))</f>
        <v>2</v>
      </c>
      <c r="S26" s="257">
        <f>VLOOKUP(G26,'Maturity Rating'!A$2:B$5,2,FALSE)</f>
        <v>3</v>
      </c>
      <c r="T26" s="257">
        <f>VLOOKUP(H26,'Maturity Rating'!A$8:B$11,2,FALSE)</f>
        <v>2</v>
      </c>
      <c r="U26" s="257">
        <f>VLOOKUP(I26,'Maturity Rating'!A$14:B$17,2,FALSE)</f>
        <v>2</v>
      </c>
      <c r="V26" s="257">
        <f>VLOOKUP(J26,'Maturity Rating'!A$20:B$23,2,FALSE)</f>
        <v>3</v>
      </c>
      <c r="W26" s="24" t="str">
        <f t="shared" si="1"/>
        <v>3223</v>
      </c>
      <c r="X26" s="24" t="str">
        <f>CONCATENATE(L26,L27,L28,L29,L30,L31,L32,L33,L34,L35)</f>
        <v>330.81111111</v>
      </c>
    </row>
    <row r="27" spans="1:24" ht="29">
      <c r="A27" s="257">
        <v>5.25</v>
      </c>
      <c r="B27" s="378"/>
      <c r="C27" s="365"/>
      <c r="D27" s="257"/>
      <c r="E27" s="132" t="s">
        <v>93</v>
      </c>
      <c r="F27" s="257" t="s">
        <v>89</v>
      </c>
      <c r="G27" s="257" t="s">
        <v>118</v>
      </c>
      <c r="H27" s="257" t="s">
        <v>100</v>
      </c>
      <c r="I27" s="257" t="s">
        <v>120</v>
      </c>
      <c r="J27" s="257" t="s">
        <v>129</v>
      </c>
      <c r="K27" s="271">
        <f t="shared" si="0"/>
        <v>3</v>
      </c>
      <c r="L27" s="273">
        <f>IF(AND(D27="K",K27=1),'Maturity Rating'!$E$8,IF(K27="NA",K27,IF(D27="K",K27*'Maturity Rating'!$E$7,K27)))</f>
        <v>3</v>
      </c>
      <c r="M27" s="373"/>
      <c r="N27" s="339"/>
      <c r="O27" s="342"/>
      <c r="P27" s="21"/>
      <c r="Q27" s="21"/>
      <c r="S27" s="257">
        <f>VLOOKUP(G27,'Maturity Rating'!A$2:B$5,2,FALSE)</f>
        <v>3</v>
      </c>
      <c r="T27" s="257">
        <f>VLOOKUP(H27,'Maturity Rating'!A$8:B$11,2,FALSE)</f>
        <v>3</v>
      </c>
      <c r="U27" s="257">
        <f>VLOOKUP(I27,'Maturity Rating'!A$14:B$17,2,FALSE)</f>
        <v>3</v>
      </c>
      <c r="V27" s="257">
        <f>VLOOKUP(J27,'Maturity Rating'!A$20:B$23,2,FALSE)</f>
        <v>3</v>
      </c>
      <c r="W27" s="24" t="str">
        <f t="shared" si="1"/>
        <v>3333</v>
      </c>
    </row>
    <row r="28" spans="1:24" ht="27" customHeight="1">
      <c r="A28" s="257">
        <v>5.26</v>
      </c>
      <c r="B28" s="378"/>
      <c r="C28" s="365"/>
      <c r="D28" s="257" t="s">
        <v>87</v>
      </c>
      <c r="E28" s="141" t="s">
        <v>252</v>
      </c>
      <c r="F28" s="257" t="s">
        <v>89</v>
      </c>
      <c r="G28" s="257" t="s">
        <v>127</v>
      </c>
      <c r="H28" s="257" t="s">
        <v>91</v>
      </c>
      <c r="I28" s="257" t="s">
        <v>91</v>
      </c>
      <c r="J28" s="257" t="s">
        <v>91</v>
      </c>
      <c r="K28" s="271">
        <f t="shared" si="0"/>
        <v>1</v>
      </c>
      <c r="L28" s="273">
        <f>IF(AND(D28="K",K28=1),'Maturity Rating'!$E$8,IF(K28="NA",K28,IF(D28="K",K28*'Maturity Rating'!$E$7,K28)))</f>
        <v>0.8</v>
      </c>
      <c r="M28" s="373"/>
      <c r="N28" s="339"/>
      <c r="O28" s="342"/>
      <c r="P28" s="21"/>
      <c r="Q28" s="21"/>
      <c r="S28" s="257">
        <f>VLOOKUP(G28,'Maturity Rating'!A$2:B$5,2,FALSE)</f>
        <v>1</v>
      </c>
      <c r="T28" s="257" t="str">
        <f>VLOOKUP(H28,'Maturity Rating'!A$8:B$11,2,FALSE)</f>
        <v>NA</v>
      </c>
      <c r="U28" s="257" t="str">
        <f>VLOOKUP(I28,'Maturity Rating'!A$14:B$17,2,FALSE)</f>
        <v>NA</v>
      </c>
      <c r="V28" s="257" t="str">
        <f>VLOOKUP(J28,'Maturity Rating'!A$20:B$23,2,FALSE)</f>
        <v>NA</v>
      </c>
      <c r="W28" s="24" t="str">
        <f t="shared" si="1"/>
        <v>1NANANA</v>
      </c>
    </row>
    <row r="29" spans="1:24" ht="27" customHeight="1">
      <c r="A29" s="257">
        <v>5.27</v>
      </c>
      <c r="B29" s="378"/>
      <c r="C29" s="365"/>
      <c r="D29" s="257"/>
      <c r="E29" s="132" t="s">
        <v>253</v>
      </c>
      <c r="F29" s="257" t="s">
        <v>89</v>
      </c>
      <c r="G29" s="257" t="s">
        <v>127</v>
      </c>
      <c r="H29" s="55" t="s">
        <v>91</v>
      </c>
      <c r="I29" s="55" t="s">
        <v>91</v>
      </c>
      <c r="J29" s="257" t="s">
        <v>91</v>
      </c>
      <c r="K29" s="271">
        <f t="shared" si="0"/>
        <v>1</v>
      </c>
      <c r="L29" s="273">
        <f>IF(AND(D29="K",K29=1),'Maturity Rating'!$E$8,IF(K29="NA",K29,IF(D29="K",K29*'Maturity Rating'!$E$7,K29)))</f>
        <v>1</v>
      </c>
      <c r="M29" s="373"/>
      <c r="N29" s="339"/>
      <c r="O29" s="342"/>
      <c r="P29" s="21"/>
      <c r="Q29" s="21"/>
      <c r="S29" s="257">
        <f>VLOOKUP(G29,'Maturity Rating'!A$2:B$5,2,FALSE)</f>
        <v>1</v>
      </c>
      <c r="T29" s="257" t="str">
        <f>VLOOKUP(H29,'Maturity Rating'!A$8:B$11,2,FALSE)</f>
        <v>NA</v>
      </c>
      <c r="U29" s="257" t="str">
        <f>VLOOKUP(I29,'Maturity Rating'!A$14:B$17,2,FALSE)</f>
        <v>NA</v>
      </c>
      <c r="V29" s="257" t="str">
        <f>VLOOKUP(J29,'Maturity Rating'!A$20:B$23,2,FALSE)</f>
        <v>NA</v>
      </c>
      <c r="W29" s="24" t="str">
        <f t="shared" si="1"/>
        <v>1NANANA</v>
      </c>
    </row>
    <row r="30" spans="1:24" ht="27" customHeight="1">
      <c r="A30" s="257">
        <v>5.28</v>
      </c>
      <c r="B30" s="378"/>
      <c r="C30" s="365"/>
      <c r="D30" s="257"/>
      <c r="E30" s="132" t="s">
        <v>254</v>
      </c>
      <c r="F30" s="257" t="s">
        <v>89</v>
      </c>
      <c r="G30" s="257" t="s">
        <v>127</v>
      </c>
      <c r="H30" s="55" t="s">
        <v>91</v>
      </c>
      <c r="I30" s="55" t="s">
        <v>91</v>
      </c>
      <c r="J30" s="257" t="s">
        <v>91</v>
      </c>
      <c r="K30" s="271">
        <f t="shared" si="0"/>
        <v>1</v>
      </c>
      <c r="L30" s="273">
        <f>IF(AND(D30="K",K30=1),'Maturity Rating'!$E$8,IF(K30="NA",K30,IF(D30="K",K30*'Maturity Rating'!$E$7,K30)))</f>
        <v>1</v>
      </c>
      <c r="M30" s="373"/>
      <c r="N30" s="339"/>
      <c r="O30" s="342"/>
      <c r="P30" s="21"/>
      <c r="Q30" s="21"/>
      <c r="S30" s="257">
        <f>VLOOKUP(G30,'Maturity Rating'!A$2:B$5,2,FALSE)</f>
        <v>1</v>
      </c>
      <c r="T30" s="257" t="str">
        <f>VLOOKUP(H30,'Maturity Rating'!A$8:B$11,2,FALSE)</f>
        <v>NA</v>
      </c>
      <c r="U30" s="257" t="str">
        <f>VLOOKUP(I30,'Maturity Rating'!A$14:B$17,2,FALSE)</f>
        <v>NA</v>
      </c>
      <c r="V30" s="257" t="str">
        <f>VLOOKUP(J30,'Maturity Rating'!A$20:B$23,2,FALSE)</f>
        <v>NA</v>
      </c>
      <c r="W30" s="24" t="str">
        <f t="shared" si="1"/>
        <v>1NANANA</v>
      </c>
    </row>
    <row r="31" spans="1:24" ht="27" customHeight="1">
      <c r="A31" s="257">
        <v>5.29</v>
      </c>
      <c r="B31" s="378"/>
      <c r="C31" s="365"/>
      <c r="D31" s="257"/>
      <c r="E31" s="132" t="s">
        <v>255</v>
      </c>
      <c r="F31" s="257" t="s">
        <v>89</v>
      </c>
      <c r="G31" s="257" t="s">
        <v>127</v>
      </c>
      <c r="H31" s="55" t="s">
        <v>91</v>
      </c>
      <c r="I31" s="55" t="s">
        <v>91</v>
      </c>
      <c r="J31" s="257" t="s">
        <v>91</v>
      </c>
      <c r="K31" s="271">
        <f t="shared" si="0"/>
        <v>1</v>
      </c>
      <c r="L31" s="273">
        <f>IF(AND(D31="K",K31=1),'Maturity Rating'!$E$8,IF(K31="NA",K31,IF(D31="K",K31*'Maturity Rating'!$E$7,K31)))</f>
        <v>1</v>
      </c>
      <c r="M31" s="373"/>
      <c r="N31" s="339"/>
      <c r="O31" s="342"/>
      <c r="P31" s="21"/>
      <c r="Q31" s="21"/>
      <c r="S31" s="257">
        <f>VLOOKUP(G31,'Maturity Rating'!A$2:B$5,2,FALSE)</f>
        <v>1</v>
      </c>
      <c r="T31" s="257" t="str">
        <f>VLOOKUP(H31,'Maturity Rating'!A$8:B$11,2,FALSE)</f>
        <v>NA</v>
      </c>
      <c r="U31" s="257" t="str">
        <f>VLOOKUP(I31,'Maturity Rating'!A$14:B$17,2,FALSE)</f>
        <v>NA</v>
      </c>
      <c r="V31" s="257" t="str">
        <f>VLOOKUP(J31,'Maturity Rating'!A$20:B$23,2,FALSE)</f>
        <v>NA</v>
      </c>
      <c r="W31" s="24" t="str">
        <f t="shared" si="1"/>
        <v>1NANANA</v>
      </c>
    </row>
    <row r="32" spans="1:24" ht="29">
      <c r="A32" s="257" t="s">
        <v>256</v>
      </c>
      <c r="B32" s="378"/>
      <c r="C32" s="365"/>
      <c r="D32" s="257"/>
      <c r="E32" s="132" t="s">
        <v>257</v>
      </c>
      <c r="F32" s="257" t="s">
        <v>89</v>
      </c>
      <c r="G32" s="257" t="s">
        <v>127</v>
      </c>
      <c r="H32" s="55" t="s">
        <v>91</v>
      </c>
      <c r="I32" s="55" t="s">
        <v>91</v>
      </c>
      <c r="J32" s="257" t="s">
        <v>91</v>
      </c>
      <c r="K32" s="271">
        <f t="shared" si="0"/>
        <v>1</v>
      </c>
      <c r="L32" s="273">
        <f>IF(AND(D32="K",K32=1),'Maturity Rating'!$E$8,IF(K32="NA",K32,IF(D32="K",K32*'Maturity Rating'!$E$7,K32)))</f>
        <v>1</v>
      </c>
      <c r="M32" s="373"/>
      <c r="N32" s="339"/>
      <c r="O32" s="342"/>
      <c r="P32" s="21"/>
      <c r="Q32" s="21"/>
      <c r="S32" s="257">
        <f>VLOOKUP(G32,'Maturity Rating'!A$2:B$5,2,FALSE)</f>
        <v>1</v>
      </c>
      <c r="T32" s="257" t="str">
        <f>VLOOKUP(H32,'Maturity Rating'!A$8:B$11,2,FALSE)</f>
        <v>NA</v>
      </c>
      <c r="U32" s="257" t="str">
        <f>VLOOKUP(I32,'Maturity Rating'!A$14:B$17,2,FALSE)</f>
        <v>NA</v>
      </c>
      <c r="V32" s="257" t="str">
        <f>VLOOKUP(J32,'Maturity Rating'!A$20:B$23,2,FALSE)</f>
        <v>NA</v>
      </c>
      <c r="W32" s="24" t="str">
        <f t="shared" si="1"/>
        <v>1NANANA</v>
      </c>
    </row>
    <row r="33" spans="1:24" ht="28.5" customHeight="1">
      <c r="A33" s="257">
        <v>5.31</v>
      </c>
      <c r="B33" s="378"/>
      <c r="C33" s="365"/>
      <c r="D33" s="257"/>
      <c r="E33" s="132" t="s">
        <v>258</v>
      </c>
      <c r="F33" s="257" t="s">
        <v>89</v>
      </c>
      <c r="G33" s="257" t="s">
        <v>127</v>
      </c>
      <c r="H33" s="55" t="s">
        <v>91</v>
      </c>
      <c r="I33" s="55" t="s">
        <v>91</v>
      </c>
      <c r="J33" s="257" t="s">
        <v>91</v>
      </c>
      <c r="K33" s="271">
        <f t="shared" si="0"/>
        <v>1</v>
      </c>
      <c r="L33" s="273">
        <f>IF(AND(D33="K",K33=1),'Maturity Rating'!$E$8,IF(K33="NA",K33,IF(D33="K",K33*'Maturity Rating'!$E$7,K33)))</f>
        <v>1</v>
      </c>
      <c r="M33" s="373"/>
      <c r="N33" s="339"/>
      <c r="O33" s="342"/>
      <c r="P33" s="21"/>
      <c r="Q33" s="21"/>
      <c r="S33" s="257">
        <f>VLOOKUP(G33,'Maturity Rating'!A$2:B$5,2,FALSE)</f>
        <v>1</v>
      </c>
      <c r="T33" s="257" t="str">
        <f>VLOOKUP(H33,'Maturity Rating'!A$8:B$11,2,FALSE)</f>
        <v>NA</v>
      </c>
      <c r="U33" s="257" t="str">
        <f>VLOOKUP(I33,'Maturity Rating'!A$14:B$17,2,FALSE)</f>
        <v>NA</v>
      </c>
      <c r="V33" s="257" t="str">
        <f>VLOOKUP(J33,'Maturity Rating'!A$20:B$23,2,FALSE)</f>
        <v>NA</v>
      </c>
      <c r="W33" s="24" t="str">
        <f t="shared" si="1"/>
        <v>1NANANA</v>
      </c>
    </row>
    <row r="34" spans="1:24" ht="30" customHeight="1">
      <c r="A34" s="257">
        <v>5.32</v>
      </c>
      <c r="B34" s="378"/>
      <c r="C34" s="365"/>
      <c r="D34" s="257"/>
      <c r="E34" s="132" t="s">
        <v>259</v>
      </c>
      <c r="F34" s="257" t="s">
        <v>89</v>
      </c>
      <c r="G34" s="257" t="s">
        <v>127</v>
      </c>
      <c r="H34" s="55" t="s">
        <v>91</v>
      </c>
      <c r="I34" s="55" t="s">
        <v>91</v>
      </c>
      <c r="J34" s="257" t="s">
        <v>91</v>
      </c>
      <c r="K34" s="271">
        <f t="shared" si="0"/>
        <v>1</v>
      </c>
      <c r="L34" s="273">
        <f>IF(AND(D34="K",K34=1),'Maturity Rating'!$E$8,IF(K34="NA",K34,IF(D34="K",K34*'Maturity Rating'!$E$7,K34)))</f>
        <v>1</v>
      </c>
      <c r="M34" s="373"/>
      <c r="N34" s="339"/>
      <c r="O34" s="342"/>
      <c r="P34" s="21"/>
      <c r="Q34" s="21"/>
      <c r="S34" s="257">
        <f>VLOOKUP(G34,'Maturity Rating'!A$2:B$5,2,FALSE)</f>
        <v>1</v>
      </c>
      <c r="T34" s="257" t="str">
        <f>VLOOKUP(H34,'Maturity Rating'!A$8:B$11,2,FALSE)</f>
        <v>NA</v>
      </c>
      <c r="U34" s="257" t="str">
        <f>VLOOKUP(I34,'Maturity Rating'!A$14:B$17,2,FALSE)</f>
        <v>NA</v>
      </c>
      <c r="V34" s="257" t="str">
        <f>VLOOKUP(J34,'Maturity Rating'!A$20:B$23,2,FALSE)</f>
        <v>NA</v>
      </c>
      <c r="W34" s="24" t="str">
        <f t="shared" si="1"/>
        <v>1NANANA</v>
      </c>
    </row>
    <row r="35" spans="1:24" ht="36.75" customHeight="1" thickBot="1">
      <c r="A35" s="258">
        <v>5.33</v>
      </c>
      <c r="B35" s="383"/>
      <c r="C35" s="366"/>
      <c r="D35" s="258"/>
      <c r="E35" s="144" t="s">
        <v>260</v>
      </c>
      <c r="F35" s="258" t="s">
        <v>89</v>
      </c>
      <c r="G35" s="257" t="s">
        <v>127</v>
      </c>
      <c r="H35" s="258" t="s">
        <v>91</v>
      </c>
      <c r="I35" s="258" t="s">
        <v>91</v>
      </c>
      <c r="J35" s="258" t="s">
        <v>91</v>
      </c>
      <c r="K35" s="274">
        <f t="shared" si="0"/>
        <v>1</v>
      </c>
      <c r="L35" s="274">
        <f>IF(AND(D35="K",K35=1),'Maturity Rating'!$E$8,IF(K35="NA",K35,IF(D35="K",K35*'Maturity Rating'!$E$7,K35)))</f>
        <v>1</v>
      </c>
      <c r="M35" s="384"/>
      <c r="N35" s="339"/>
      <c r="O35" s="352"/>
      <c r="P35" s="21"/>
      <c r="Q35" s="21"/>
      <c r="S35" s="257">
        <f>VLOOKUP(G35,'Maturity Rating'!A$2:B$5,2,FALSE)</f>
        <v>1</v>
      </c>
      <c r="T35" s="257" t="str">
        <f>VLOOKUP(H35,'Maturity Rating'!A$8:B$11,2,FALSE)</f>
        <v>NA</v>
      </c>
      <c r="U35" s="257" t="str">
        <f>VLOOKUP(I35,'Maturity Rating'!A$14:B$17,2,FALSE)</f>
        <v>NA</v>
      </c>
      <c r="V35" s="257" t="str">
        <f>VLOOKUP(J35,'Maturity Rating'!A$20:B$23,2,FALSE)</f>
        <v>NA</v>
      </c>
      <c r="W35" s="24" t="str">
        <f t="shared" si="1"/>
        <v>1NANANA</v>
      </c>
    </row>
    <row r="36" spans="1:24">
      <c r="A36" s="36">
        <v>5.34</v>
      </c>
      <c r="B36" s="385" t="s">
        <v>261</v>
      </c>
      <c r="C36" s="368" t="s">
        <v>262</v>
      </c>
      <c r="D36" s="256"/>
      <c r="E36" s="137" t="s">
        <v>263</v>
      </c>
      <c r="F36" s="264" t="s">
        <v>89</v>
      </c>
      <c r="G36" s="256" t="s">
        <v>118</v>
      </c>
      <c r="H36" s="256" t="s">
        <v>100</v>
      </c>
      <c r="I36" s="256" t="s">
        <v>120</v>
      </c>
      <c r="J36" s="256" t="s">
        <v>129</v>
      </c>
      <c r="K36" s="278">
        <f t="shared" si="0"/>
        <v>3</v>
      </c>
      <c r="L36" s="278">
        <f>IF(AND(D36="K",K36=1),'Maturity Rating'!$E$8,IF(K36="NA",K36,IF(D36="K",K36*'Maturity Rating'!$E$7,K36)))</f>
        <v>3</v>
      </c>
      <c r="M36" s="380">
        <f>IF(X36="NANANANANANANA",K36,AVERAGE(L36:L44))</f>
        <v>1.1777777777777778</v>
      </c>
      <c r="N36" s="338">
        <f>IF(M36&lt;1.1,1,IF(M36="NA",M36,(MIN(5,M36/3*5))))</f>
        <v>1.962962962962963</v>
      </c>
      <c r="O36" s="341" t="str">
        <f>IF(N36="NA",N36,VLOOKUP(Q36,'Maturity Rating'!G4:H8,2,FALSE))</f>
        <v>Initial</v>
      </c>
      <c r="P36" s="21"/>
      <c r="Q36" s="244">
        <f>IF(N36="NA",N36,ROUNDDOWN(N36,0))</f>
        <v>1</v>
      </c>
      <c r="S36" s="257">
        <f>VLOOKUP(G36,'Maturity Rating'!A$2:B$5,2,FALSE)</f>
        <v>3</v>
      </c>
      <c r="T36" s="257">
        <f>VLOOKUP(H36,'Maturity Rating'!A$8:B$11,2,FALSE)</f>
        <v>3</v>
      </c>
      <c r="U36" s="257">
        <f>VLOOKUP(I36,'Maturity Rating'!A$14:B$17,2,FALSE)</f>
        <v>3</v>
      </c>
      <c r="V36" s="257">
        <f>VLOOKUP(J36,'Maturity Rating'!A$20:B$23,2,FALSE)</f>
        <v>3</v>
      </c>
      <c r="W36" s="24" t="str">
        <f t="shared" si="1"/>
        <v>3333</v>
      </c>
      <c r="X36" s="24" t="str">
        <f>CONCATENATE(L36,L37,L38,L39,L40,L41,L42,L43,L44)</f>
        <v>310.8110.8111</v>
      </c>
    </row>
    <row r="37" spans="1:24" ht="29">
      <c r="A37" s="74">
        <v>5.35</v>
      </c>
      <c r="B37" s="386"/>
      <c r="C37" s="365"/>
      <c r="D37" s="257"/>
      <c r="E37" s="132" t="s">
        <v>93</v>
      </c>
      <c r="F37" s="257" t="s">
        <v>89</v>
      </c>
      <c r="G37" s="257" t="s">
        <v>127</v>
      </c>
      <c r="H37" s="257" t="s">
        <v>91</v>
      </c>
      <c r="I37" s="257" t="s">
        <v>91</v>
      </c>
      <c r="J37" s="257" t="s">
        <v>91</v>
      </c>
      <c r="K37" s="271">
        <f t="shared" si="0"/>
        <v>1</v>
      </c>
      <c r="L37" s="273">
        <f>IF(AND(D37="K",K37=1),'Maturity Rating'!$E$8,IF(K37="NA",K37,IF(D37="K",K37*'Maturity Rating'!$E$7,K37)))</f>
        <v>1</v>
      </c>
      <c r="M37" s="373"/>
      <c r="N37" s="339"/>
      <c r="O37" s="342"/>
      <c r="P37" s="21"/>
      <c r="Q37" s="21"/>
      <c r="S37" s="257">
        <f>VLOOKUP(G37,'Maturity Rating'!A$2:B$5,2,FALSE)</f>
        <v>1</v>
      </c>
      <c r="T37" s="257" t="str">
        <f>VLOOKUP(H37,'Maturity Rating'!A$8:B$11,2,FALSE)</f>
        <v>NA</v>
      </c>
      <c r="U37" s="257" t="str">
        <f>VLOOKUP(I37,'Maturity Rating'!A$14:B$17,2,FALSE)</f>
        <v>NA</v>
      </c>
      <c r="V37" s="257" t="str">
        <f>VLOOKUP(J37,'Maturity Rating'!A$20:B$23,2,FALSE)</f>
        <v>NA</v>
      </c>
      <c r="W37" s="24" t="str">
        <f t="shared" si="1"/>
        <v>1NANANA</v>
      </c>
    </row>
    <row r="38" spans="1:24" ht="29">
      <c r="A38" s="74">
        <v>5.36</v>
      </c>
      <c r="B38" s="386"/>
      <c r="C38" s="365"/>
      <c r="D38" s="257" t="s">
        <v>87</v>
      </c>
      <c r="E38" s="141" t="s">
        <v>264</v>
      </c>
      <c r="F38" s="257" t="s">
        <v>105</v>
      </c>
      <c r="G38" s="257" t="s">
        <v>127</v>
      </c>
      <c r="H38" s="55" t="s">
        <v>91</v>
      </c>
      <c r="I38" s="55" t="s">
        <v>91</v>
      </c>
      <c r="J38" s="257" t="s">
        <v>91</v>
      </c>
      <c r="K38" s="271">
        <f t="shared" si="0"/>
        <v>1</v>
      </c>
      <c r="L38" s="273">
        <f>IF(AND(D38="K",K38=1),'Maturity Rating'!$E$8,IF(K38="NA",K38,IF(D38="K",K38*'Maturity Rating'!$E$7,K38)))</f>
        <v>0.8</v>
      </c>
      <c r="M38" s="373"/>
      <c r="N38" s="339"/>
      <c r="O38" s="342"/>
      <c r="P38" s="21"/>
      <c r="Q38" s="21"/>
      <c r="S38" s="257">
        <f>VLOOKUP(G38,'Maturity Rating'!A$2:B$5,2,FALSE)</f>
        <v>1</v>
      </c>
      <c r="T38" s="257" t="str">
        <f>VLOOKUP(H38,'Maturity Rating'!A$8:B$11,2,FALSE)</f>
        <v>NA</v>
      </c>
      <c r="U38" s="257" t="str">
        <f>VLOOKUP(I38,'Maturity Rating'!A$14:B$17,2,FALSE)</f>
        <v>NA</v>
      </c>
      <c r="V38" s="257" t="str">
        <f>VLOOKUP(J38,'Maturity Rating'!A$20:B$23,2,FALSE)</f>
        <v>NA</v>
      </c>
      <c r="W38" s="24" t="str">
        <f t="shared" si="1"/>
        <v>1NANANA</v>
      </c>
    </row>
    <row r="39" spans="1:24" ht="29">
      <c r="A39" s="74">
        <v>5.37</v>
      </c>
      <c r="B39" s="386"/>
      <c r="C39" s="365"/>
      <c r="D39" s="257"/>
      <c r="E39" s="132" t="s">
        <v>265</v>
      </c>
      <c r="F39" s="257" t="s">
        <v>105</v>
      </c>
      <c r="G39" s="257" t="s">
        <v>127</v>
      </c>
      <c r="H39" s="55" t="s">
        <v>91</v>
      </c>
      <c r="I39" s="55" t="s">
        <v>91</v>
      </c>
      <c r="J39" s="257" t="s">
        <v>91</v>
      </c>
      <c r="K39" s="271">
        <f t="shared" ref="K39" si="5">IF(W39="NANANANA",S39,IF(AND(OR(G39="Formally Documented",G39="Informally Documented"),H39="Not Implemented"),0.5*AVERAGE(S39:V39),AVERAGE(S39:V39)))</f>
        <v>1</v>
      </c>
      <c r="L39" s="273">
        <f>IF(AND(D39="K",K39=1),'Maturity Rating'!$E$8,IF(K39="NA",K39,IF(D39="K",K39*'Maturity Rating'!$E$7,K39)))</f>
        <v>1</v>
      </c>
      <c r="M39" s="373"/>
      <c r="N39" s="339"/>
      <c r="O39" s="342"/>
      <c r="P39" s="21"/>
      <c r="Q39" s="21"/>
      <c r="S39" s="257">
        <f>VLOOKUP(G39,'Maturity Rating'!A$2:B$5,2,FALSE)</f>
        <v>1</v>
      </c>
      <c r="T39" s="257" t="str">
        <f>VLOOKUP(H39,'Maturity Rating'!A$8:B$11,2,FALSE)</f>
        <v>NA</v>
      </c>
      <c r="U39" s="257" t="str">
        <f>VLOOKUP(I39,'Maturity Rating'!A$14:B$17,2,FALSE)</f>
        <v>NA</v>
      </c>
      <c r="V39" s="257" t="str">
        <f>VLOOKUP(J39,'Maturity Rating'!A$20:B$23,2,FALSE)</f>
        <v>NA</v>
      </c>
      <c r="W39" s="24" t="str">
        <f t="shared" ref="W39" si="6">CONCATENATE(S39,T39,U39,V39)</f>
        <v>1NANANA</v>
      </c>
    </row>
    <row r="40" spans="1:24" ht="29">
      <c r="A40" s="74">
        <v>5.38</v>
      </c>
      <c r="B40" s="386"/>
      <c r="C40" s="365"/>
      <c r="D40" s="257"/>
      <c r="E40" s="132" t="s">
        <v>266</v>
      </c>
      <c r="F40" s="257" t="s">
        <v>89</v>
      </c>
      <c r="G40" s="257" t="s">
        <v>127</v>
      </c>
      <c r="H40" s="55" t="s">
        <v>91</v>
      </c>
      <c r="I40" s="55" t="s">
        <v>91</v>
      </c>
      <c r="J40" s="257" t="s">
        <v>91</v>
      </c>
      <c r="K40" s="271">
        <f t="shared" si="0"/>
        <v>1</v>
      </c>
      <c r="L40" s="273">
        <f>IF(AND(D40="K",K40=1),'Maturity Rating'!$E$8,IF(K40="NA",K40,IF(D40="K",K40*'Maturity Rating'!$E$7,K40)))</f>
        <v>1</v>
      </c>
      <c r="M40" s="373"/>
      <c r="N40" s="339"/>
      <c r="O40" s="342"/>
      <c r="P40" s="21"/>
      <c r="Q40" s="21"/>
      <c r="S40" s="257">
        <f>VLOOKUP(G40,'Maturity Rating'!A$2:B$5,2,FALSE)</f>
        <v>1</v>
      </c>
      <c r="T40" s="257" t="str">
        <f>VLOOKUP(H40,'Maturity Rating'!A$8:B$11,2,FALSE)</f>
        <v>NA</v>
      </c>
      <c r="U40" s="257" t="str">
        <f>VLOOKUP(I40,'Maturity Rating'!A$14:B$17,2,FALSE)</f>
        <v>NA</v>
      </c>
      <c r="V40" s="257" t="str">
        <f>VLOOKUP(J40,'Maturity Rating'!A$20:B$23,2,FALSE)</f>
        <v>NA</v>
      </c>
      <c r="W40" s="24" t="str">
        <f t="shared" si="1"/>
        <v>1NANANA</v>
      </c>
    </row>
    <row r="41" spans="1:24" ht="30" customHeight="1">
      <c r="A41" s="74">
        <v>5.39</v>
      </c>
      <c r="B41" s="386"/>
      <c r="C41" s="365"/>
      <c r="D41" s="257" t="s">
        <v>87</v>
      </c>
      <c r="E41" s="141" t="s">
        <v>267</v>
      </c>
      <c r="F41" s="257" t="s">
        <v>105</v>
      </c>
      <c r="G41" s="257" t="s">
        <v>127</v>
      </c>
      <c r="H41" s="55" t="s">
        <v>91</v>
      </c>
      <c r="I41" s="55" t="s">
        <v>91</v>
      </c>
      <c r="J41" s="257" t="s">
        <v>91</v>
      </c>
      <c r="K41" s="271">
        <f t="shared" si="0"/>
        <v>1</v>
      </c>
      <c r="L41" s="273">
        <f>IF(AND(D41="K",K41=1),'Maturity Rating'!$E$8,IF(K41="NA",K41,IF(D41="K",K41*'Maturity Rating'!$E$7,K41)))</f>
        <v>0.8</v>
      </c>
      <c r="M41" s="373"/>
      <c r="N41" s="339"/>
      <c r="O41" s="342"/>
      <c r="P41" s="21"/>
      <c r="Q41" s="21"/>
      <c r="S41" s="257">
        <f>VLOOKUP(G41,'Maturity Rating'!A$2:B$5,2,FALSE)</f>
        <v>1</v>
      </c>
      <c r="T41" s="257" t="str">
        <f>VLOOKUP(H41,'Maturity Rating'!A$8:B$11,2,FALSE)</f>
        <v>NA</v>
      </c>
      <c r="U41" s="257" t="str">
        <f>VLOOKUP(I41,'Maturity Rating'!A$14:B$17,2,FALSE)</f>
        <v>NA</v>
      </c>
      <c r="V41" s="257" t="str">
        <f>VLOOKUP(J41,'Maturity Rating'!A$20:B$23,2,FALSE)</f>
        <v>NA</v>
      </c>
      <c r="W41" s="24" t="str">
        <f t="shared" si="1"/>
        <v>1NANANA</v>
      </c>
    </row>
    <row r="42" spans="1:24" ht="30" customHeight="1">
      <c r="A42" s="74" t="s">
        <v>268</v>
      </c>
      <c r="B42" s="386"/>
      <c r="C42" s="365"/>
      <c r="D42" s="257"/>
      <c r="E42" s="132" t="s">
        <v>269</v>
      </c>
      <c r="F42" s="257" t="s">
        <v>105</v>
      </c>
      <c r="G42" s="257" t="s">
        <v>127</v>
      </c>
      <c r="H42" s="55" t="s">
        <v>91</v>
      </c>
      <c r="I42" s="55" t="s">
        <v>91</v>
      </c>
      <c r="J42" s="257" t="s">
        <v>91</v>
      </c>
      <c r="K42" s="271">
        <f t="shared" ref="K42" si="7">IF(W42="NANANANA",S42,IF(AND(OR(G42="Formally Documented",G42="Informally Documented"),H42="Not Implemented"),0.5*AVERAGE(S42:V42),AVERAGE(S42:V42)))</f>
        <v>1</v>
      </c>
      <c r="L42" s="273">
        <f>IF(AND(D42="K",K42=1),'Maturity Rating'!$E$8,IF(K42="NA",K42,IF(D42="K",K42*'Maturity Rating'!$E$7,K42)))</f>
        <v>1</v>
      </c>
      <c r="M42" s="373"/>
      <c r="N42" s="339"/>
      <c r="O42" s="342"/>
      <c r="P42" s="21"/>
      <c r="Q42" s="21"/>
      <c r="S42" s="257">
        <f>VLOOKUP(G42,'Maturity Rating'!A$2:B$5,2,FALSE)</f>
        <v>1</v>
      </c>
      <c r="T42" s="257" t="str">
        <f>VLOOKUP(H42,'Maturity Rating'!A$8:B$11,2,FALSE)</f>
        <v>NA</v>
      </c>
      <c r="U42" s="257" t="str">
        <f>VLOOKUP(I42,'Maturity Rating'!A$14:B$17,2,FALSE)</f>
        <v>NA</v>
      </c>
      <c r="V42" s="257" t="str">
        <f>VLOOKUP(J42,'Maturity Rating'!A$20:B$23,2,FALSE)</f>
        <v>NA</v>
      </c>
      <c r="W42" s="24" t="str">
        <f t="shared" ref="W42" si="8">CONCATENATE(S42,T42,U42,V42)</f>
        <v>1NANANA</v>
      </c>
    </row>
    <row r="43" spans="1:24" ht="29">
      <c r="A43" s="74">
        <v>5.41</v>
      </c>
      <c r="B43" s="386"/>
      <c r="C43" s="365"/>
      <c r="D43" s="257"/>
      <c r="E43" s="132" t="s">
        <v>270</v>
      </c>
      <c r="F43" s="257" t="s">
        <v>105</v>
      </c>
      <c r="G43" s="257" t="s">
        <v>127</v>
      </c>
      <c r="H43" s="55" t="s">
        <v>91</v>
      </c>
      <c r="I43" s="55" t="s">
        <v>91</v>
      </c>
      <c r="J43" s="257" t="s">
        <v>91</v>
      </c>
      <c r="K43" s="271">
        <f t="shared" si="0"/>
        <v>1</v>
      </c>
      <c r="L43" s="273">
        <f>IF(AND(D43="K",K43=1),'Maturity Rating'!$E$8,IF(K43="NA",K43,IF(D43="K",K43*'Maturity Rating'!$E$7,K43)))</f>
        <v>1</v>
      </c>
      <c r="M43" s="373"/>
      <c r="N43" s="339"/>
      <c r="O43" s="342"/>
      <c r="P43" s="21"/>
      <c r="Q43" s="21"/>
      <c r="S43" s="257">
        <f>VLOOKUP(G43,'Maturity Rating'!A$2:B$5,2,FALSE)</f>
        <v>1</v>
      </c>
      <c r="T43" s="257" t="str">
        <f>VLOOKUP(H43,'Maturity Rating'!A$8:B$11,2,FALSE)</f>
        <v>NA</v>
      </c>
      <c r="U43" s="257" t="str">
        <f>VLOOKUP(I43,'Maturity Rating'!A$14:B$17,2,FALSE)</f>
        <v>NA</v>
      </c>
      <c r="V43" s="257" t="str">
        <f>VLOOKUP(J43,'Maturity Rating'!A$20:B$23,2,FALSE)</f>
        <v>NA</v>
      </c>
      <c r="W43" s="24" t="str">
        <f t="shared" si="1"/>
        <v>1NANANA</v>
      </c>
    </row>
    <row r="44" spans="1:24" s="123" customFormat="1" ht="29.5" thickBot="1">
      <c r="A44" s="75">
        <v>5.42</v>
      </c>
      <c r="B44" s="387"/>
      <c r="C44" s="367"/>
      <c r="D44" s="259"/>
      <c r="E44" s="142" t="s">
        <v>271</v>
      </c>
      <c r="F44" s="59" t="s">
        <v>105</v>
      </c>
      <c r="G44" s="259" t="s">
        <v>127</v>
      </c>
      <c r="H44" s="59" t="s">
        <v>91</v>
      </c>
      <c r="I44" s="59" t="s">
        <v>91</v>
      </c>
      <c r="J44" s="59" t="s">
        <v>91</v>
      </c>
      <c r="K44" s="272">
        <f t="shared" si="0"/>
        <v>1</v>
      </c>
      <c r="L44" s="121">
        <f>IF(AND(D44="K",K44=1),'Maturity Rating'!$E$8,IF(K44="NA",K44,IF(D44="K",K44*'Maturity Rating'!$E$7,K44)))</f>
        <v>1</v>
      </c>
      <c r="M44" s="370"/>
      <c r="N44" s="340"/>
      <c r="O44" s="343"/>
      <c r="P44" s="122"/>
      <c r="Q44" s="122"/>
      <c r="S44" s="55">
        <f>VLOOKUP(G44,'Maturity Rating'!A$2:B$5,2,FALSE)</f>
        <v>1</v>
      </c>
      <c r="T44" s="55" t="str">
        <f>VLOOKUP(H44,'Maturity Rating'!A$8:B$11,2,FALSE)</f>
        <v>NA</v>
      </c>
      <c r="U44" s="55" t="str">
        <f>VLOOKUP(I44,'Maturity Rating'!A$14:B$17,2,FALSE)</f>
        <v>NA</v>
      </c>
      <c r="V44" s="55" t="str">
        <f>VLOOKUP(J44,'Maturity Rating'!A$20:B$23,2,FALSE)</f>
        <v>NA</v>
      </c>
      <c r="W44" s="123" t="str">
        <f t="shared" si="1"/>
        <v>1NANANA</v>
      </c>
    </row>
    <row r="45" spans="1:24" ht="29">
      <c r="A45" s="36">
        <v>5.43</v>
      </c>
      <c r="B45" s="377" t="s">
        <v>272</v>
      </c>
      <c r="C45" s="368" t="s">
        <v>273</v>
      </c>
      <c r="D45" s="256" t="s">
        <v>87</v>
      </c>
      <c r="E45" s="187" t="s">
        <v>274</v>
      </c>
      <c r="F45" s="256" t="s">
        <v>89</v>
      </c>
      <c r="G45" s="256" t="s">
        <v>127</v>
      </c>
      <c r="H45" s="256" t="s">
        <v>91</v>
      </c>
      <c r="I45" s="256" t="s">
        <v>91</v>
      </c>
      <c r="J45" s="256" t="s">
        <v>91</v>
      </c>
      <c r="K45" s="278">
        <f t="shared" si="0"/>
        <v>1</v>
      </c>
      <c r="L45" s="278">
        <f>IF(AND(D45="K",K45=1),'Maturity Rating'!$E$8,IF(K45="NA",K45,IF(D45="K",K45*'Maturity Rating'!$E$7,K45)))</f>
        <v>0.8</v>
      </c>
      <c r="M45" s="380">
        <f>IF(X45="NANANANA",K45,AVERAGE(L45:L52))</f>
        <v>0.95</v>
      </c>
      <c r="N45" s="338">
        <f>IF(M45&lt;1.1,1,IF(M45="NA",M45,(MIN(5,M45/3*5))))</f>
        <v>1</v>
      </c>
      <c r="O45" s="341" t="str">
        <f>IF(N45="NA",N45,VLOOKUP(Q45,'Maturity Rating'!G4:H8,2,FALSE))</f>
        <v>Initial</v>
      </c>
      <c r="P45" s="21"/>
      <c r="Q45" s="244">
        <f>IF(N45="NA",N45,ROUNDDOWN(N45,0))</f>
        <v>1</v>
      </c>
      <c r="S45" s="257">
        <f>VLOOKUP(G45,'Maturity Rating'!A$2:B$5,2,FALSE)</f>
        <v>1</v>
      </c>
      <c r="T45" s="257" t="str">
        <f>VLOOKUP(H45,'Maturity Rating'!A$8:B$11,2,FALSE)</f>
        <v>NA</v>
      </c>
      <c r="U45" s="257" t="str">
        <f>VLOOKUP(I45,'Maturity Rating'!A$14:B$17,2,FALSE)</f>
        <v>NA</v>
      </c>
      <c r="V45" s="257" t="str">
        <f>VLOOKUP(J45,'Maturity Rating'!A$20:B$23,2,FALSE)</f>
        <v>NA</v>
      </c>
      <c r="W45" s="24" t="str">
        <f t="shared" si="1"/>
        <v>1NANANA</v>
      </c>
      <c r="X45" s="24" t="str">
        <f>CONCATENATE(L45,L46,L47,L48,L49,L50,L51,L52)</f>
        <v>0.810.811111</v>
      </c>
    </row>
    <row r="46" spans="1:24" ht="29">
      <c r="A46" s="74">
        <v>5.44</v>
      </c>
      <c r="B46" s="378"/>
      <c r="C46" s="365"/>
      <c r="D46" s="257"/>
      <c r="E46" s="132" t="s">
        <v>275</v>
      </c>
      <c r="F46" s="257" t="s">
        <v>89</v>
      </c>
      <c r="G46" s="257" t="s">
        <v>127</v>
      </c>
      <c r="H46" s="257" t="s">
        <v>91</v>
      </c>
      <c r="I46" s="257" t="s">
        <v>91</v>
      </c>
      <c r="J46" s="257" t="s">
        <v>91</v>
      </c>
      <c r="K46" s="271">
        <f t="shared" si="0"/>
        <v>1</v>
      </c>
      <c r="L46" s="273">
        <f>IF(AND(D46="K",K46=1),'Maturity Rating'!$E$8,IF(K46="NA",K46,IF(D46="K",K46*'Maturity Rating'!$E$7,K46)))</f>
        <v>1</v>
      </c>
      <c r="M46" s="373"/>
      <c r="N46" s="339"/>
      <c r="O46" s="342"/>
      <c r="P46" s="21"/>
      <c r="Q46" s="21"/>
      <c r="S46" s="257">
        <f>VLOOKUP(G46,'Maturity Rating'!A$2:B$5,2,FALSE)</f>
        <v>1</v>
      </c>
      <c r="T46" s="257" t="str">
        <f>VLOOKUP(H46,'Maturity Rating'!A$8:B$11,2,FALSE)</f>
        <v>NA</v>
      </c>
      <c r="U46" s="257" t="str">
        <f>VLOOKUP(I46,'Maturity Rating'!A$14:B$17,2,FALSE)</f>
        <v>NA</v>
      </c>
      <c r="V46" s="257" t="str">
        <f>VLOOKUP(J46,'Maturity Rating'!A$20:B$23,2,FALSE)</f>
        <v>NA</v>
      </c>
      <c r="W46" s="24" t="str">
        <f t="shared" si="1"/>
        <v>1NANANA</v>
      </c>
    </row>
    <row r="47" spans="1:24" ht="29">
      <c r="A47" s="74">
        <v>5.45</v>
      </c>
      <c r="B47" s="378"/>
      <c r="C47" s="365"/>
      <c r="D47" s="257" t="s">
        <v>87</v>
      </c>
      <c r="E47" s="141" t="s">
        <v>276</v>
      </c>
      <c r="F47" s="257" t="s">
        <v>89</v>
      </c>
      <c r="G47" s="257" t="s">
        <v>127</v>
      </c>
      <c r="H47" s="55" t="s">
        <v>91</v>
      </c>
      <c r="I47" s="55" t="s">
        <v>91</v>
      </c>
      <c r="J47" s="257" t="s">
        <v>91</v>
      </c>
      <c r="K47" s="271">
        <f t="shared" si="0"/>
        <v>1</v>
      </c>
      <c r="L47" s="273">
        <f>IF(AND(D47="K",K47=1),'Maturity Rating'!$E$8,IF(K47="NA",K47,IF(D47="K",K47*'Maturity Rating'!$E$7,K47)))</f>
        <v>0.8</v>
      </c>
      <c r="M47" s="373"/>
      <c r="N47" s="339"/>
      <c r="O47" s="342"/>
      <c r="P47" s="21"/>
      <c r="Q47" s="21"/>
      <c r="S47" s="257">
        <f>VLOOKUP(G47,'Maturity Rating'!A$2:B$5,2,FALSE)</f>
        <v>1</v>
      </c>
      <c r="T47" s="257" t="str">
        <f>VLOOKUP(H47,'Maturity Rating'!A$8:B$11,2,FALSE)</f>
        <v>NA</v>
      </c>
      <c r="U47" s="257" t="str">
        <f>VLOOKUP(I47,'Maturity Rating'!A$14:B$17,2,FALSE)</f>
        <v>NA</v>
      </c>
      <c r="V47" s="257" t="str">
        <f>VLOOKUP(J47,'Maturity Rating'!A$20:B$23,2,FALSE)</f>
        <v>NA</v>
      </c>
      <c r="W47" s="24" t="str">
        <f t="shared" si="1"/>
        <v>1NANANA</v>
      </c>
    </row>
    <row r="48" spans="1:24" ht="29">
      <c r="A48" s="74">
        <v>5.46</v>
      </c>
      <c r="B48" s="383"/>
      <c r="C48" s="366"/>
      <c r="D48" s="258"/>
      <c r="E48" s="144" t="s">
        <v>277</v>
      </c>
      <c r="F48" s="257" t="s">
        <v>89</v>
      </c>
      <c r="G48" s="257" t="s">
        <v>127</v>
      </c>
      <c r="H48" s="55" t="s">
        <v>91</v>
      </c>
      <c r="I48" s="55" t="s">
        <v>91</v>
      </c>
      <c r="J48" s="257" t="s">
        <v>91</v>
      </c>
      <c r="K48" s="271">
        <f t="shared" ref="K48:K49" si="9">IF(W48="NANANANA",S48,IF(AND(OR(G48="Formally Documented",G48="Informally Documented"),H48="Not Implemented"),0.5*AVERAGE(S48:V48),AVERAGE(S48:V48)))</f>
        <v>1</v>
      </c>
      <c r="L48" s="273">
        <f>IF(AND(D48="K",K48=1),'Maturity Rating'!$E$8,IF(K48="NA",K48,IF(D48="K",K48*'Maturity Rating'!$E$7,K48)))</f>
        <v>1</v>
      </c>
      <c r="M48" s="384"/>
      <c r="N48" s="339"/>
      <c r="O48" s="352"/>
      <c r="P48" s="21"/>
      <c r="Q48" s="21"/>
      <c r="S48" s="257">
        <f>VLOOKUP(G48,'Maturity Rating'!A$2:B$5,2,FALSE)</f>
        <v>1</v>
      </c>
      <c r="T48" s="257" t="str">
        <f>VLOOKUP(H48,'Maturity Rating'!A$8:B$11,2,FALSE)</f>
        <v>NA</v>
      </c>
      <c r="U48" s="257" t="str">
        <f>VLOOKUP(I48,'Maturity Rating'!A$14:B$17,2,FALSE)</f>
        <v>NA</v>
      </c>
      <c r="V48" s="257" t="str">
        <f>VLOOKUP(J48,'Maturity Rating'!A$20:B$23,2,FALSE)</f>
        <v>NA</v>
      </c>
      <c r="W48" s="24" t="str">
        <f t="shared" si="1"/>
        <v>1NANANA</v>
      </c>
    </row>
    <row r="49" spans="1:24" ht="29">
      <c r="A49" s="74">
        <v>5.47</v>
      </c>
      <c r="B49" s="383"/>
      <c r="C49" s="366"/>
      <c r="D49" s="258"/>
      <c r="E49" s="144" t="s">
        <v>278</v>
      </c>
      <c r="F49" s="257" t="s">
        <v>89</v>
      </c>
      <c r="G49" s="257" t="s">
        <v>127</v>
      </c>
      <c r="H49" s="55" t="s">
        <v>91</v>
      </c>
      <c r="I49" s="55" t="s">
        <v>91</v>
      </c>
      <c r="J49" s="257" t="s">
        <v>91</v>
      </c>
      <c r="K49" s="271">
        <f t="shared" si="9"/>
        <v>1</v>
      </c>
      <c r="L49" s="273">
        <f>IF(AND(D49="K",K49=1),'Maturity Rating'!$E$8,IF(K49="NA",K49,IF(D49="K",K49*'Maturity Rating'!$E$7,K49)))</f>
        <v>1</v>
      </c>
      <c r="M49" s="384"/>
      <c r="N49" s="339"/>
      <c r="O49" s="352"/>
      <c r="P49" s="21"/>
      <c r="Q49" s="21"/>
      <c r="S49" s="257">
        <f>VLOOKUP(G49,'Maturity Rating'!A$2:B$5,2,FALSE)</f>
        <v>1</v>
      </c>
      <c r="T49" s="257" t="str">
        <f>VLOOKUP(H49,'Maturity Rating'!A$8:B$11,2,FALSE)</f>
        <v>NA</v>
      </c>
      <c r="U49" s="257" t="str">
        <f>VLOOKUP(I49,'Maturity Rating'!A$14:B$17,2,FALSE)</f>
        <v>NA</v>
      </c>
      <c r="V49" s="257" t="str">
        <f>VLOOKUP(J49,'Maturity Rating'!A$20:B$23,2,FALSE)</f>
        <v>NA</v>
      </c>
      <c r="W49" s="24" t="str">
        <f t="shared" si="1"/>
        <v>1NANANA</v>
      </c>
    </row>
    <row r="50" spans="1:24" ht="29">
      <c r="A50" s="74">
        <v>5.48</v>
      </c>
      <c r="B50" s="383"/>
      <c r="C50" s="366"/>
      <c r="D50" s="258"/>
      <c r="E50" s="144" t="s">
        <v>279</v>
      </c>
      <c r="F50" s="257" t="s">
        <v>89</v>
      </c>
      <c r="G50" s="257" t="s">
        <v>127</v>
      </c>
      <c r="H50" s="55" t="s">
        <v>95</v>
      </c>
      <c r="I50" s="55" t="s">
        <v>206</v>
      </c>
      <c r="J50" s="257" t="s">
        <v>102</v>
      </c>
      <c r="K50" s="271">
        <f t="shared" ref="K50" si="10">IF(W50="NANANANA",S50,IF(AND(OR(G50="Formally Documented",G50="Informally Documented"),H50="Not Implemented"),0.5*AVERAGE(S50:V50),AVERAGE(S50:V50)))</f>
        <v>1</v>
      </c>
      <c r="L50" s="273">
        <f>IF(AND(D50="K",K50=1),'Maturity Rating'!$E$8,IF(K50="NA",K50,IF(D50="K",K50*'Maturity Rating'!$E$7,K50)))</f>
        <v>1</v>
      </c>
      <c r="M50" s="384"/>
      <c r="N50" s="339"/>
      <c r="O50" s="352"/>
      <c r="P50" s="21"/>
      <c r="Q50" s="21"/>
      <c r="S50" s="257">
        <f>VLOOKUP(G50,'Maturity Rating'!A$2:B$5,2,FALSE)</f>
        <v>1</v>
      </c>
      <c r="T50" s="257">
        <f>VLOOKUP(H50,'Maturity Rating'!A$8:B$11,2,FALSE)</f>
        <v>1</v>
      </c>
      <c r="U50" s="257">
        <f>VLOOKUP(I50,'Maturity Rating'!A$14:B$17,2,FALSE)</f>
        <v>1</v>
      </c>
      <c r="V50" s="257">
        <f>VLOOKUP(J50,'Maturity Rating'!A$20:B$23,2,FALSE)</f>
        <v>1</v>
      </c>
      <c r="W50" s="24" t="str">
        <f t="shared" ref="W50" si="11">CONCATENATE(S50,T50,U50,V50)</f>
        <v>1111</v>
      </c>
    </row>
    <row r="51" spans="1:24" ht="29">
      <c r="A51" s="74">
        <v>5.49</v>
      </c>
      <c r="B51" s="383"/>
      <c r="C51" s="366"/>
      <c r="D51" s="258"/>
      <c r="E51" s="144" t="s">
        <v>280</v>
      </c>
      <c r="F51" s="258" t="s">
        <v>89</v>
      </c>
      <c r="G51" s="257" t="s">
        <v>127</v>
      </c>
      <c r="H51" s="55" t="s">
        <v>91</v>
      </c>
      <c r="I51" s="55" t="s">
        <v>91</v>
      </c>
      <c r="J51" s="257" t="s">
        <v>91</v>
      </c>
      <c r="K51" s="271">
        <f>IF(W51="NANANANA",S51,IF(AND(OR(G51="Formally Documented",G51="Informally Documented"),H51="Not Implemented"),0.5*AVERAGE(S51:V51),AVERAGE(S51:V51)))</f>
        <v>1</v>
      </c>
      <c r="L51" s="273">
        <f>IF(AND(D51="K",K51=1),'Maturity Rating'!$E$8,IF(K51="NA",K51,IF(D51="K",K51*'Maturity Rating'!$E$7,K51)))</f>
        <v>1</v>
      </c>
      <c r="M51" s="384"/>
      <c r="N51" s="339"/>
      <c r="O51" s="352"/>
      <c r="P51" s="21"/>
      <c r="Q51" s="21"/>
      <c r="S51" s="257">
        <f>VLOOKUP(G51,'Maturity Rating'!A$2:B$5,2,FALSE)</f>
        <v>1</v>
      </c>
      <c r="T51" s="257" t="str">
        <f>VLOOKUP(H51,'Maturity Rating'!A$8:B$11,2,FALSE)</f>
        <v>NA</v>
      </c>
      <c r="U51" s="257" t="str">
        <f>VLOOKUP(I51,'Maturity Rating'!A$14:B$17,2,FALSE)</f>
        <v>NA</v>
      </c>
      <c r="V51" s="257" t="str">
        <f>VLOOKUP(J51,'Maturity Rating'!A$20:B$23,2,FALSE)</f>
        <v>NA</v>
      </c>
      <c r="W51" s="24" t="str">
        <f>CONCATENATE(S51,T51,U51,V51)</f>
        <v>1NANANA</v>
      </c>
    </row>
    <row r="52" spans="1:24" ht="29.5" thickBot="1">
      <c r="A52" s="75" t="s">
        <v>281</v>
      </c>
      <c r="B52" s="379"/>
      <c r="C52" s="367"/>
      <c r="D52" s="259"/>
      <c r="E52" s="142" t="s">
        <v>282</v>
      </c>
      <c r="F52" s="259" t="s">
        <v>89</v>
      </c>
      <c r="G52" s="257" t="s">
        <v>127</v>
      </c>
      <c r="H52" s="259" t="s">
        <v>91</v>
      </c>
      <c r="I52" s="259" t="s">
        <v>91</v>
      </c>
      <c r="J52" s="259" t="s">
        <v>91</v>
      </c>
      <c r="K52" s="272">
        <f t="shared" si="0"/>
        <v>1</v>
      </c>
      <c r="L52" s="272">
        <f>IF(AND(D52="K",K52=1),'Maturity Rating'!$E$8,IF(K52="NA",K52,IF(D52="K",K52*'Maturity Rating'!$E$7,K52)))</f>
        <v>1</v>
      </c>
      <c r="M52" s="370"/>
      <c r="N52" s="340"/>
      <c r="O52" s="343"/>
      <c r="P52" s="21"/>
      <c r="Q52" s="21"/>
      <c r="S52" s="257">
        <f>VLOOKUP(G52,'Maturity Rating'!A$2:B$5,2,FALSE)</f>
        <v>1</v>
      </c>
      <c r="T52" s="257" t="str">
        <f>VLOOKUP(H52,'Maturity Rating'!A$8:B$11,2,FALSE)</f>
        <v>NA</v>
      </c>
      <c r="U52" s="257" t="str">
        <f>VLOOKUP(I52,'Maturity Rating'!A$14:B$17,2,FALSE)</f>
        <v>NA</v>
      </c>
      <c r="V52" s="257" t="str">
        <f>VLOOKUP(J52,'Maturity Rating'!A$20:B$23,2,FALSE)</f>
        <v>NA</v>
      </c>
      <c r="W52" s="24" t="str">
        <f t="shared" si="1"/>
        <v>1NANANA</v>
      </c>
    </row>
    <row r="53" spans="1:24" ht="29">
      <c r="A53" s="36">
        <v>5.51</v>
      </c>
      <c r="B53" s="377" t="s">
        <v>283</v>
      </c>
      <c r="C53" s="368" t="s">
        <v>284</v>
      </c>
      <c r="D53" s="256"/>
      <c r="E53" s="137" t="s">
        <v>285</v>
      </c>
      <c r="F53" s="264" t="s">
        <v>89</v>
      </c>
      <c r="G53" s="256" t="s">
        <v>91</v>
      </c>
      <c r="H53" s="256" t="s">
        <v>91</v>
      </c>
      <c r="I53" s="256" t="s">
        <v>91</v>
      </c>
      <c r="J53" s="256" t="s">
        <v>91</v>
      </c>
      <c r="K53" s="278" t="str">
        <f t="shared" si="0"/>
        <v>NA</v>
      </c>
      <c r="L53" s="278" t="str">
        <f>IF(AND(D53="K",K53=1),'Maturity Rating'!$E$8,IF(K53="NA",K53,IF(D53="K",K53*'Maturity Rating'!$E$7,K53)))</f>
        <v>NA</v>
      </c>
      <c r="M53" s="380">
        <f>IF(X53="NANANANANA",K53,AVERAGE(L53:L57))</f>
        <v>1.45</v>
      </c>
      <c r="N53" s="381">
        <f>IF(M53&lt;1.1,1,IF(M53="NA",M53,(MIN(5,M53/3*5))))</f>
        <v>2.4166666666666665</v>
      </c>
      <c r="O53" s="341" t="str">
        <f>IF(N53="NA",N53,VLOOKUP(Q53,'Maturity Rating'!G4:H8,2,FALSE))</f>
        <v>Partial</v>
      </c>
      <c r="P53" s="21"/>
      <c r="Q53" s="244">
        <f>IF(N53="NA",N53,ROUNDDOWN(N53,0))</f>
        <v>2</v>
      </c>
      <c r="S53" s="257" t="str">
        <f>VLOOKUP(G53,'Maturity Rating'!A$2:B$5,2,FALSE)</f>
        <v>NA</v>
      </c>
      <c r="T53" s="257" t="str">
        <f>VLOOKUP(H53,'Maturity Rating'!A$8:B$11,2,FALSE)</f>
        <v>NA</v>
      </c>
      <c r="U53" s="257" t="str">
        <f>VLOOKUP(I53,'Maturity Rating'!A$14:B$17,2,FALSE)</f>
        <v>NA</v>
      </c>
      <c r="V53" s="257" t="str">
        <f>VLOOKUP(J53,'Maturity Rating'!A$20:B$23,2,FALSE)</f>
        <v>NA</v>
      </c>
      <c r="W53" s="24" t="str">
        <f t="shared" si="1"/>
        <v>NANANANA</v>
      </c>
      <c r="X53" s="24" t="str">
        <f>CONCATENATE(L53,L54,L55,L56,L57)</f>
        <v>NA30.811</v>
      </c>
    </row>
    <row r="54" spans="1:24" ht="29">
      <c r="A54" s="74">
        <v>5.52</v>
      </c>
      <c r="B54" s="378"/>
      <c r="C54" s="365"/>
      <c r="D54" s="257"/>
      <c r="E54" s="132" t="s">
        <v>93</v>
      </c>
      <c r="F54" s="257" t="s">
        <v>89</v>
      </c>
      <c r="G54" s="257" t="s">
        <v>118</v>
      </c>
      <c r="H54" s="257" t="s">
        <v>100</v>
      </c>
      <c r="I54" s="257" t="s">
        <v>120</v>
      </c>
      <c r="J54" s="257" t="s">
        <v>129</v>
      </c>
      <c r="K54" s="271">
        <f t="shared" si="0"/>
        <v>3</v>
      </c>
      <c r="L54" s="273">
        <f>IF(AND(D54="K",K54=1),'Maturity Rating'!$E$8,IF(K54="NA",K54,IF(D54="K",K54*'Maturity Rating'!$E$7,K54)))</f>
        <v>3</v>
      </c>
      <c r="M54" s="373"/>
      <c r="N54" s="374"/>
      <c r="O54" s="342"/>
      <c r="P54" s="21"/>
      <c r="Q54" s="21"/>
      <c r="S54" s="257">
        <f>VLOOKUP(G54,'Maturity Rating'!A$2:B$5,2,FALSE)</f>
        <v>3</v>
      </c>
      <c r="T54" s="257">
        <f>VLOOKUP(H54,'Maturity Rating'!A$8:B$11,2,FALSE)</f>
        <v>3</v>
      </c>
      <c r="U54" s="257">
        <f>VLOOKUP(I54,'Maturity Rating'!A$14:B$17,2,FALSE)</f>
        <v>3</v>
      </c>
      <c r="V54" s="257">
        <f>VLOOKUP(J54,'Maturity Rating'!A$20:B$23,2,FALSE)</f>
        <v>3</v>
      </c>
      <c r="W54" s="24" t="str">
        <f t="shared" si="1"/>
        <v>3333</v>
      </c>
    </row>
    <row r="55" spans="1:24" ht="29">
      <c r="A55" s="74">
        <v>5.53</v>
      </c>
      <c r="B55" s="378"/>
      <c r="C55" s="365"/>
      <c r="D55" s="257" t="s">
        <v>87</v>
      </c>
      <c r="E55" s="141" t="s">
        <v>286</v>
      </c>
      <c r="F55" s="257" t="s">
        <v>89</v>
      </c>
      <c r="G55" s="257" t="s">
        <v>127</v>
      </c>
      <c r="H55" s="257" t="s">
        <v>91</v>
      </c>
      <c r="I55" s="257" t="s">
        <v>91</v>
      </c>
      <c r="J55" s="257" t="s">
        <v>91</v>
      </c>
      <c r="K55" s="271">
        <f t="shared" si="0"/>
        <v>1</v>
      </c>
      <c r="L55" s="273">
        <f>IF(AND(D55="K",K55=1),'Maturity Rating'!$E$8,IF(K55="NA",K55,IF(D55="K",K55*'Maturity Rating'!$E$7,K55)))</f>
        <v>0.8</v>
      </c>
      <c r="M55" s="373"/>
      <c r="N55" s="374"/>
      <c r="O55" s="342"/>
      <c r="P55" s="21"/>
      <c r="Q55" s="21"/>
      <c r="S55" s="257">
        <f>VLOOKUP(G55,'Maturity Rating'!A$2:B$5,2,FALSE)</f>
        <v>1</v>
      </c>
      <c r="T55" s="257" t="str">
        <f>VLOOKUP(H55,'Maturity Rating'!A$8:B$11,2,FALSE)</f>
        <v>NA</v>
      </c>
      <c r="U55" s="257" t="str">
        <f>VLOOKUP(I55,'Maturity Rating'!A$14:B$17,2,FALSE)</f>
        <v>NA</v>
      </c>
      <c r="V55" s="257" t="str">
        <f>VLOOKUP(J55,'Maturity Rating'!A$20:B$23,2,FALSE)</f>
        <v>NA</v>
      </c>
      <c r="W55" s="24" t="str">
        <f t="shared" si="1"/>
        <v>1NANANA</v>
      </c>
    </row>
    <row r="56" spans="1:24" ht="29">
      <c r="A56" s="74">
        <v>5.54</v>
      </c>
      <c r="B56" s="378"/>
      <c r="C56" s="365"/>
      <c r="D56" s="257"/>
      <c r="E56" s="132" t="s">
        <v>287</v>
      </c>
      <c r="F56" s="257" t="s">
        <v>89</v>
      </c>
      <c r="G56" s="257" t="s">
        <v>127</v>
      </c>
      <c r="H56" s="55" t="s">
        <v>91</v>
      </c>
      <c r="I56" s="55" t="s">
        <v>91</v>
      </c>
      <c r="J56" s="55" t="s">
        <v>91</v>
      </c>
      <c r="K56" s="271">
        <f t="shared" si="0"/>
        <v>1</v>
      </c>
      <c r="L56" s="273">
        <f>IF(AND(D56="K",K56=1),'Maturity Rating'!$E$8,IF(K56="NA",K56,IF(D56="K",K56*'Maturity Rating'!$E$7,K56)))</f>
        <v>1</v>
      </c>
      <c r="M56" s="373"/>
      <c r="N56" s="374"/>
      <c r="O56" s="342"/>
      <c r="P56" s="21"/>
      <c r="Q56" s="21"/>
      <c r="S56" s="257">
        <f>VLOOKUP(G56,'Maturity Rating'!A$2:B$5,2,FALSE)</f>
        <v>1</v>
      </c>
      <c r="T56" s="257" t="str">
        <f>VLOOKUP(H56,'Maturity Rating'!A$8:B$11,2,FALSE)</f>
        <v>NA</v>
      </c>
      <c r="U56" s="257" t="str">
        <f>VLOOKUP(I56,'Maturity Rating'!A$14:B$17,2,FALSE)</f>
        <v>NA</v>
      </c>
      <c r="V56" s="257" t="str">
        <f>VLOOKUP(J56,'Maturity Rating'!A$20:B$23,2,FALSE)</f>
        <v>NA</v>
      </c>
      <c r="W56" s="24" t="str">
        <f t="shared" si="1"/>
        <v>1NANANA</v>
      </c>
    </row>
    <row r="57" spans="1:24" ht="29.5" thickBot="1">
      <c r="A57" s="75">
        <v>5.55</v>
      </c>
      <c r="B57" s="379"/>
      <c r="C57" s="367"/>
      <c r="D57" s="259"/>
      <c r="E57" s="142" t="s">
        <v>288</v>
      </c>
      <c r="F57" s="259" t="s">
        <v>105</v>
      </c>
      <c r="G57" s="259" t="s">
        <v>127</v>
      </c>
      <c r="H57" s="259" t="s">
        <v>91</v>
      </c>
      <c r="I57" s="259" t="s">
        <v>91</v>
      </c>
      <c r="J57" s="259" t="s">
        <v>91</v>
      </c>
      <c r="K57" s="272">
        <f t="shared" si="0"/>
        <v>1</v>
      </c>
      <c r="L57" s="272">
        <f>IF(AND(D57="K",K57=1),'Maturity Rating'!$E$8,IF(K57="NA",K57,IF(D57="K",K57*'Maturity Rating'!$E$7,K57)))</f>
        <v>1</v>
      </c>
      <c r="M57" s="370"/>
      <c r="N57" s="372"/>
      <c r="O57" s="343"/>
      <c r="P57" s="21"/>
      <c r="Q57" s="21"/>
      <c r="S57" s="257">
        <f>VLOOKUP(G57,'Maturity Rating'!A$2:B$5,2,FALSE)</f>
        <v>1</v>
      </c>
      <c r="T57" s="257" t="str">
        <f>VLOOKUP(H57,'Maturity Rating'!A$8:B$11,2,FALSE)</f>
        <v>NA</v>
      </c>
      <c r="U57" s="257" t="str">
        <f>VLOOKUP(I57,'Maturity Rating'!A$14:B$17,2,FALSE)</f>
        <v>NA</v>
      </c>
      <c r="V57" s="257" t="str">
        <f>VLOOKUP(J57,'Maturity Rating'!A$20:B$23,2,FALSE)</f>
        <v>NA</v>
      </c>
      <c r="W57" s="24" t="str">
        <f t="shared" si="1"/>
        <v>1NANANA</v>
      </c>
    </row>
    <row r="58" spans="1:24" ht="29">
      <c r="A58" s="36">
        <v>5.56</v>
      </c>
      <c r="B58" s="377" t="s">
        <v>289</v>
      </c>
      <c r="C58" s="368" t="s">
        <v>290</v>
      </c>
      <c r="D58" s="256" t="s">
        <v>87</v>
      </c>
      <c r="E58" s="187" t="s">
        <v>291</v>
      </c>
      <c r="F58" s="256" t="s">
        <v>89</v>
      </c>
      <c r="G58" s="256" t="s">
        <v>127</v>
      </c>
      <c r="H58" s="256" t="s">
        <v>91</v>
      </c>
      <c r="I58" s="256" t="s">
        <v>91</v>
      </c>
      <c r="J58" s="256" t="s">
        <v>91</v>
      </c>
      <c r="K58" s="278">
        <f t="shared" si="0"/>
        <v>1</v>
      </c>
      <c r="L58" s="278">
        <f>IF(AND(D58="K",K58=1),'Maturity Rating'!$E$8,IF(K58="NA",K58,IF(D58="K",K58*'Maturity Rating'!$E$7,K58)))</f>
        <v>0.8</v>
      </c>
      <c r="M58" s="380">
        <f>IF(X58="NANANANANANANANANANANANA",K58,AVERAGE(L58:L69))</f>
        <v>1.1166666666666667</v>
      </c>
      <c r="N58" s="381">
        <f>IF(M58&lt;1.1,1,IF(M58="NA",M58,(MIN(5,M58/3*5))))</f>
        <v>1.8611111111111112</v>
      </c>
      <c r="O58" s="341" t="str">
        <f>IF(N58="NA",N58,VLOOKUP(Q58,'Maturity Rating'!G4:H8,2,FALSE))</f>
        <v>Initial</v>
      </c>
      <c r="P58" s="21"/>
      <c r="Q58" s="244">
        <f>IF(N58="NA",N58,ROUNDDOWN(N58,0))</f>
        <v>1</v>
      </c>
      <c r="S58" s="257">
        <f>VLOOKUP(G58,'Maturity Rating'!A$2:B$5,2,FALSE)</f>
        <v>1</v>
      </c>
      <c r="T58" s="257" t="str">
        <f>VLOOKUP(H58,'Maturity Rating'!A$8:B$11,2,FALSE)</f>
        <v>NA</v>
      </c>
      <c r="U58" s="257" t="str">
        <f>VLOOKUP(I58,'Maturity Rating'!A$14:B$17,2,FALSE)</f>
        <v>NA</v>
      </c>
      <c r="V58" s="257" t="str">
        <f>VLOOKUP(J58,'Maturity Rating'!A$20:B$23,2,FALSE)</f>
        <v>NA</v>
      </c>
      <c r="W58" s="24" t="str">
        <f t="shared" si="1"/>
        <v>1NANANA</v>
      </c>
      <c r="X58" s="24" t="str">
        <f>CONCATENATE(L58,L59,L60,L61,L62,L63,L64,L65,L66,L67,L68,L69)</f>
        <v>0.81110.811130.811</v>
      </c>
    </row>
    <row r="59" spans="1:24" ht="29">
      <c r="A59" s="74">
        <v>5.57</v>
      </c>
      <c r="B59" s="378"/>
      <c r="C59" s="365"/>
      <c r="D59" s="257"/>
      <c r="E59" s="132" t="s">
        <v>93</v>
      </c>
      <c r="F59" s="257" t="s">
        <v>89</v>
      </c>
      <c r="G59" s="257" t="s">
        <v>127</v>
      </c>
      <c r="H59" s="257" t="s">
        <v>91</v>
      </c>
      <c r="I59" s="257" t="s">
        <v>91</v>
      </c>
      <c r="J59" s="257" t="s">
        <v>91</v>
      </c>
      <c r="K59" s="271">
        <f t="shared" si="0"/>
        <v>1</v>
      </c>
      <c r="L59" s="273">
        <f>IF(AND(D59="K",K59=1),'Maturity Rating'!$E$8,IF(K59="NA",K59,IF(D59="K",K59*'Maturity Rating'!$E$7,K59)))</f>
        <v>1</v>
      </c>
      <c r="M59" s="373"/>
      <c r="N59" s="374"/>
      <c r="O59" s="342"/>
      <c r="P59" s="21"/>
      <c r="Q59" s="21"/>
      <c r="S59" s="257">
        <f>VLOOKUP(G59,'Maturity Rating'!A$2:B$5,2,FALSE)</f>
        <v>1</v>
      </c>
      <c r="T59" s="257" t="str">
        <f>VLOOKUP(H59,'Maturity Rating'!A$8:B$11,2,FALSE)</f>
        <v>NA</v>
      </c>
      <c r="U59" s="257" t="str">
        <f>VLOOKUP(I59,'Maturity Rating'!A$14:B$17,2,FALSE)</f>
        <v>NA</v>
      </c>
      <c r="V59" s="257" t="str">
        <f>VLOOKUP(J59,'Maturity Rating'!A$20:B$23,2,FALSE)</f>
        <v>NA</v>
      </c>
      <c r="W59" s="24" t="str">
        <f t="shared" si="1"/>
        <v>1NANANA</v>
      </c>
    </row>
    <row r="60" spans="1:24" ht="29">
      <c r="A60" s="74">
        <v>5.58</v>
      </c>
      <c r="B60" s="378"/>
      <c r="C60" s="365"/>
      <c r="D60" s="257"/>
      <c r="E60" s="132" t="s">
        <v>292</v>
      </c>
      <c r="F60" s="257" t="s">
        <v>89</v>
      </c>
      <c r="G60" s="257" t="s">
        <v>127</v>
      </c>
      <c r="H60" s="55" t="s">
        <v>91</v>
      </c>
      <c r="I60" s="55" t="s">
        <v>91</v>
      </c>
      <c r="J60" s="257" t="s">
        <v>91</v>
      </c>
      <c r="K60" s="271">
        <f t="shared" si="0"/>
        <v>1</v>
      </c>
      <c r="L60" s="273">
        <f>IF(AND(D60="K",K60=1),'Maturity Rating'!$E$8,IF(K60="NA",K60,IF(D60="K",K60*'Maturity Rating'!$E$7,K60)))</f>
        <v>1</v>
      </c>
      <c r="M60" s="373"/>
      <c r="N60" s="374"/>
      <c r="O60" s="342"/>
      <c r="P60" s="21"/>
      <c r="Q60" s="21"/>
      <c r="S60" s="257">
        <f>VLOOKUP(G60,'Maturity Rating'!A$2:B$5,2,FALSE)</f>
        <v>1</v>
      </c>
      <c r="T60" s="257" t="str">
        <f>VLOOKUP(H60,'Maturity Rating'!A$8:B$11,2,FALSE)</f>
        <v>NA</v>
      </c>
      <c r="U60" s="257" t="str">
        <f>VLOOKUP(I60,'Maturity Rating'!A$14:B$17,2,FALSE)</f>
        <v>NA</v>
      </c>
      <c r="V60" s="257" t="str">
        <f>VLOOKUP(J60,'Maturity Rating'!A$20:B$23,2,FALSE)</f>
        <v>NA</v>
      </c>
      <c r="W60" s="24" t="str">
        <f t="shared" si="1"/>
        <v>1NANANA</v>
      </c>
    </row>
    <row r="61" spans="1:24" ht="29">
      <c r="A61" s="74">
        <v>5.59</v>
      </c>
      <c r="B61" s="378"/>
      <c r="C61" s="365"/>
      <c r="D61" s="257"/>
      <c r="E61" s="132" t="s">
        <v>293</v>
      </c>
      <c r="F61" s="257" t="s">
        <v>89</v>
      </c>
      <c r="G61" s="257" t="s">
        <v>127</v>
      </c>
      <c r="H61" s="55" t="s">
        <v>91</v>
      </c>
      <c r="I61" s="55" t="s">
        <v>91</v>
      </c>
      <c r="J61" s="257" t="s">
        <v>91</v>
      </c>
      <c r="K61" s="271">
        <f t="shared" si="0"/>
        <v>1</v>
      </c>
      <c r="L61" s="273">
        <f>IF(AND(D61="K",K61=1),'Maturity Rating'!$E$8,IF(K61="NA",K61,IF(D61="K",K61*'Maturity Rating'!$E$7,K61)))</f>
        <v>1</v>
      </c>
      <c r="M61" s="373"/>
      <c r="N61" s="374"/>
      <c r="O61" s="342"/>
      <c r="P61" s="21"/>
      <c r="Q61" s="21"/>
      <c r="S61" s="257">
        <f>VLOOKUP(G61,'Maturity Rating'!A$2:B$5,2,FALSE)</f>
        <v>1</v>
      </c>
      <c r="T61" s="257" t="str">
        <f>VLOOKUP(H61,'Maturity Rating'!A$8:B$11,2,FALSE)</f>
        <v>NA</v>
      </c>
      <c r="U61" s="257" t="str">
        <f>VLOOKUP(I61,'Maturity Rating'!A$14:B$17,2,FALSE)</f>
        <v>NA</v>
      </c>
      <c r="V61" s="257" t="str">
        <f>VLOOKUP(J61,'Maturity Rating'!A$20:B$23,2,FALSE)</f>
        <v>NA</v>
      </c>
      <c r="W61" s="24" t="str">
        <f t="shared" si="1"/>
        <v>1NANANA</v>
      </c>
    </row>
    <row r="62" spans="1:24" ht="29">
      <c r="A62" s="74" t="s">
        <v>294</v>
      </c>
      <c r="B62" s="378"/>
      <c r="C62" s="365"/>
      <c r="D62" s="257" t="s">
        <v>87</v>
      </c>
      <c r="E62" s="141" t="s">
        <v>295</v>
      </c>
      <c r="F62" s="257" t="s">
        <v>89</v>
      </c>
      <c r="G62" s="257" t="s">
        <v>127</v>
      </c>
      <c r="H62" s="55" t="s">
        <v>91</v>
      </c>
      <c r="I62" s="55" t="s">
        <v>91</v>
      </c>
      <c r="J62" s="257" t="s">
        <v>91</v>
      </c>
      <c r="K62" s="271">
        <f t="shared" si="0"/>
        <v>1</v>
      </c>
      <c r="L62" s="273">
        <f>IF(AND(D62="K",K62=1),'Maturity Rating'!$E$8,IF(K62="NA",K62,IF(D62="K",K62*'Maturity Rating'!$E$7,K62)))</f>
        <v>0.8</v>
      </c>
      <c r="M62" s="373"/>
      <c r="N62" s="374"/>
      <c r="O62" s="342"/>
      <c r="P62" s="21"/>
      <c r="Q62" s="21"/>
      <c r="S62" s="257">
        <f>VLOOKUP(G62,'Maturity Rating'!A$2:B$5,2,FALSE)</f>
        <v>1</v>
      </c>
      <c r="T62" s="257" t="str">
        <f>VLOOKUP(H62,'Maturity Rating'!A$8:B$11,2,FALSE)</f>
        <v>NA</v>
      </c>
      <c r="U62" s="257" t="str">
        <f>VLOOKUP(I62,'Maturity Rating'!A$14:B$17,2,FALSE)</f>
        <v>NA</v>
      </c>
      <c r="V62" s="257" t="str">
        <f>VLOOKUP(J62,'Maturity Rating'!A$20:B$23,2,FALSE)</f>
        <v>NA</v>
      </c>
      <c r="W62" s="24" t="str">
        <f t="shared" si="1"/>
        <v>1NANANA</v>
      </c>
    </row>
    <row r="63" spans="1:24" ht="29">
      <c r="A63" s="74">
        <v>5.61</v>
      </c>
      <c r="B63" s="378"/>
      <c r="C63" s="365"/>
      <c r="D63" s="257"/>
      <c r="E63" s="132" t="s">
        <v>296</v>
      </c>
      <c r="F63" s="257" t="s">
        <v>89</v>
      </c>
      <c r="G63" s="257" t="s">
        <v>127</v>
      </c>
      <c r="H63" s="55" t="s">
        <v>91</v>
      </c>
      <c r="I63" s="55" t="s">
        <v>91</v>
      </c>
      <c r="J63" s="257" t="s">
        <v>91</v>
      </c>
      <c r="K63" s="271">
        <f t="shared" si="0"/>
        <v>1</v>
      </c>
      <c r="L63" s="273">
        <f>IF(AND(D63="K",K63=1),'Maturity Rating'!$E$8,IF(K63="NA",K63,IF(D63="K",K63*'Maturity Rating'!$E$7,K63)))</f>
        <v>1</v>
      </c>
      <c r="M63" s="373"/>
      <c r="N63" s="374"/>
      <c r="O63" s="342"/>
      <c r="P63" s="21"/>
      <c r="Q63" s="21"/>
      <c r="S63" s="257">
        <f>VLOOKUP(G63,'Maturity Rating'!A$2:B$5,2,FALSE)</f>
        <v>1</v>
      </c>
      <c r="T63" s="257" t="str">
        <f>VLOOKUP(H63,'Maturity Rating'!A$8:B$11,2,FALSE)</f>
        <v>NA</v>
      </c>
      <c r="U63" s="257" t="str">
        <f>VLOOKUP(I63,'Maturity Rating'!A$14:B$17,2,FALSE)</f>
        <v>NA</v>
      </c>
      <c r="V63" s="257" t="str">
        <f>VLOOKUP(J63,'Maturity Rating'!A$20:B$23,2,FALSE)</f>
        <v>NA</v>
      </c>
      <c r="W63" s="24" t="str">
        <f t="shared" si="1"/>
        <v>1NANANA</v>
      </c>
    </row>
    <row r="64" spans="1:24" ht="29">
      <c r="A64" s="74">
        <v>5.62</v>
      </c>
      <c r="B64" s="378"/>
      <c r="C64" s="365"/>
      <c r="D64" s="257"/>
      <c r="E64" s="132" t="s">
        <v>297</v>
      </c>
      <c r="F64" s="257" t="s">
        <v>89</v>
      </c>
      <c r="G64" s="257" t="s">
        <v>127</v>
      </c>
      <c r="H64" s="55" t="s">
        <v>91</v>
      </c>
      <c r="I64" s="55" t="s">
        <v>91</v>
      </c>
      <c r="J64" s="257" t="s">
        <v>91</v>
      </c>
      <c r="K64" s="271">
        <f t="shared" si="0"/>
        <v>1</v>
      </c>
      <c r="L64" s="273">
        <f>IF(AND(D64="K",K64=1),'Maturity Rating'!$E$8,IF(K64="NA",K64,IF(D64="K",K64*'Maturity Rating'!$E$7,K64)))</f>
        <v>1</v>
      </c>
      <c r="M64" s="373"/>
      <c r="N64" s="374"/>
      <c r="O64" s="342"/>
      <c r="P64" s="21"/>
      <c r="Q64" s="21"/>
      <c r="S64" s="257">
        <f>VLOOKUP(G64,'Maturity Rating'!A$2:B$5,2,FALSE)</f>
        <v>1</v>
      </c>
      <c r="T64" s="257" t="str">
        <f>VLOOKUP(H64,'Maturity Rating'!A$8:B$11,2,FALSE)</f>
        <v>NA</v>
      </c>
      <c r="U64" s="257" t="str">
        <f>VLOOKUP(I64,'Maturity Rating'!A$14:B$17,2,FALSE)</f>
        <v>NA</v>
      </c>
      <c r="V64" s="257" t="str">
        <f>VLOOKUP(J64,'Maturity Rating'!A$20:B$23,2,FALSE)</f>
        <v>NA</v>
      </c>
      <c r="W64" s="24" t="str">
        <f t="shared" si="1"/>
        <v>1NANANA</v>
      </c>
    </row>
    <row r="65" spans="1:24" ht="29">
      <c r="A65" s="74">
        <v>5.63</v>
      </c>
      <c r="B65" s="378"/>
      <c r="C65" s="365"/>
      <c r="D65" s="257"/>
      <c r="E65" s="132" t="s">
        <v>298</v>
      </c>
      <c r="F65" s="257" t="s">
        <v>89</v>
      </c>
      <c r="G65" s="257" t="s">
        <v>127</v>
      </c>
      <c r="H65" s="55" t="s">
        <v>91</v>
      </c>
      <c r="I65" s="55" t="s">
        <v>91</v>
      </c>
      <c r="J65" s="257" t="s">
        <v>91</v>
      </c>
      <c r="K65" s="271">
        <f t="shared" si="0"/>
        <v>1</v>
      </c>
      <c r="L65" s="273">
        <f>IF(AND(D65="K",K65=1),'Maturity Rating'!$E$8,IF(K65="NA",K65,IF(D65="K",K65*'Maturity Rating'!$E$7,K65)))</f>
        <v>1</v>
      </c>
      <c r="M65" s="373"/>
      <c r="N65" s="374"/>
      <c r="O65" s="342"/>
      <c r="P65" s="21"/>
      <c r="Q65" s="21"/>
      <c r="S65" s="257">
        <f>VLOOKUP(G65,'Maturity Rating'!A$2:B$5,2,FALSE)</f>
        <v>1</v>
      </c>
      <c r="T65" s="257" t="str">
        <f>VLOOKUP(H65,'Maturity Rating'!A$8:B$11,2,FALSE)</f>
        <v>NA</v>
      </c>
      <c r="U65" s="257" t="str">
        <f>VLOOKUP(I65,'Maturity Rating'!A$14:B$17,2,FALSE)</f>
        <v>NA</v>
      </c>
      <c r="V65" s="257" t="str">
        <f>VLOOKUP(J65,'Maturity Rating'!A$20:B$23,2,FALSE)</f>
        <v>NA</v>
      </c>
      <c r="W65" s="24" t="str">
        <f t="shared" si="1"/>
        <v>1NANANA</v>
      </c>
    </row>
    <row r="66" spans="1:24" ht="29">
      <c r="A66" s="74">
        <v>5.64</v>
      </c>
      <c r="B66" s="378"/>
      <c r="C66" s="365"/>
      <c r="D66" s="257"/>
      <c r="E66" s="132" t="s">
        <v>299</v>
      </c>
      <c r="F66" s="257" t="s">
        <v>89</v>
      </c>
      <c r="G66" s="257" t="s">
        <v>118</v>
      </c>
      <c r="H66" s="55" t="s">
        <v>100</v>
      </c>
      <c r="I66" s="55" t="s">
        <v>120</v>
      </c>
      <c r="J66" s="257" t="s">
        <v>129</v>
      </c>
      <c r="K66" s="271">
        <f t="shared" si="0"/>
        <v>3</v>
      </c>
      <c r="L66" s="273">
        <f>IF(AND(D66="K",K66=1),'Maturity Rating'!$E$8,IF(K66="NA",K66,IF(D66="K",K66*'Maturity Rating'!$E$7,K66)))</f>
        <v>3</v>
      </c>
      <c r="M66" s="373"/>
      <c r="N66" s="374"/>
      <c r="O66" s="342"/>
      <c r="P66" s="21"/>
      <c r="Q66" s="21"/>
      <c r="S66" s="257">
        <f>VLOOKUP(G66,'Maturity Rating'!A$2:B$5,2,FALSE)</f>
        <v>3</v>
      </c>
      <c r="T66" s="257">
        <f>VLOOKUP(H66,'Maturity Rating'!A$8:B$11,2,FALSE)</f>
        <v>3</v>
      </c>
      <c r="U66" s="257">
        <f>VLOOKUP(I66,'Maturity Rating'!A$14:B$17,2,FALSE)</f>
        <v>3</v>
      </c>
      <c r="V66" s="257">
        <f>VLOOKUP(J66,'Maturity Rating'!A$20:B$23,2,FALSE)</f>
        <v>3</v>
      </c>
      <c r="W66" s="24" t="str">
        <f t="shared" si="1"/>
        <v>3333</v>
      </c>
    </row>
    <row r="67" spans="1:24" ht="35.25" customHeight="1">
      <c r="A67" s="74">
        <v>5.65</v>
      </c>
      <c r="B67" s="378"/>
      <c r="C67" s="365"/>
      <c r="D67" s="257" t="s">
        <v>87</v>
      </c>
      <c r="E67" s="141" t="s">
        <v>300</v>
      </c>
      <c r="F67" s="257" t="s">
        <v>105</v>
      </c>
      <c r="G67" s="257" t="s">
        <v>127</v>
      </c>
      <c r="H67" s="55" t="s">
        <v>91</v>
      </c>
      <c r="I67" s="55" t="s">
        <v>91</v>
      </c>
      <c r="J67" s="257" t="s">
        <v>91</v>
      </c>
      <c r="K67" s="271">
        <f t="shared" si="0"/>
        <v>1</v>
      </c>
      <c r="L67" s="273">
        <f>IF(AND(D67="K",K67=1),'Maturity Rating'!$E$8,IF(K67="NA",K67,IF(D67="K",K67*'Maturity Rating'!$E$7,K67)))</f>
        <v>0.8</v>
      </c>
      <c r="M67" s="373"/>
      <c r="N67" s="374"/>
      <c r="O67" s="342"/>
      <c r="P67" s="21"/>
      <c r="Q67" s="21"/>
      <c r="S67" s="257">
        <f>VLOOKUP(G67,'Maturity Rating'!A$2:B$5,2,FALSE)</f>
        <v>1</v>
      </c>
      <c r="T67" s="257" t="str">
        <f>VLOOKUP(H67,'Maturity Rating'!A$8:B$11,2,FALSE)</f>
        <v>NA</v>
      </c>
      <c r="U67" s="257" t="str">
        <f>VLOOKUP(I67,'Maturity Rating'!A$14:B$17,2,FALSE)</f>
        <v>NA</v>
      </c>
      <c r="V67" s="257" t="str">
        <f>VLOOKUP(J67,'Maturity Rating'!A$20:B$23,2,FALSE)</f>
        <v>NA</v>
      </c>
      <c r="W67" s="24" t="str">
        <f t="shared" si="1"/>
        <v>1NANANA</v>
      </c>
    </row>
    <row r="68" spans="1:24" ht="29">
      <c r="A68" s="74">
        <v>5.66</v>
      </c>
      <c r="B68" s="378"/>
      <c r="C68" s="365"/>
      <c r="D68" s="257"/>
      <c r="E68" s="132" t="s">
        <v>301</v>
      </c>
      <c r="F68" s="257" t="s">
        <v>89</v>
      </c>
      <c r="G68" s="257" t="s">
        <v>127</v>
      </c>
      <c r="H68" s="55" t="s">
        <v>91</v>
      </c>
      <c r="I68" s="55" t="s">
        <v>91</v>
      </c>
      <c r="J68" s="257" t="s">
        <v>91</v>
      </c>
      <c r="K68" s="271">
        <f t="shared" si="0"/>
        <v>1</v>
      </c>
      <c r="L68" s="273">
        <f>IF(AND(D68="K",K68=1),'Maturity Rating'!$E$8,IF(K68="NA",K68,IF(D68="K",K68*'Maturity Rating'!$E$7,K68)))</f>
        <v>1</v>
      </c>
      <c r="M68" s="373"/>
      <c r="N68" s="374"/>
      <c r="O68" s="342"/>
      <c r="P68" s="21"/>
      <c r="Q68" s="21"/>
      <c r="S68" s="257">
        <f>VLOOKUP(G68,'Maturity Rating'!A$2:B$5,2,FALSE)</f>
        <v>1</v>
      </c>
      <c r="T68" s="257" t="str">
        <f>VLOOKUP(H68,'Maturity Rating'!A$8:B$11,2,FALSE)</f>
        <v>NA</v>
      </c>
      <c r="U68" s="257" t="str">
        <f>VLOOKUP(I68,'Maturity Rating'!A$14:B$17,2,FALSE)</f>
        <v>NA</v>
      </c>
      <c r="V68" s="257" t="str">
        <f>VLOOKUP(J68,'Maturity Rating'!A$20:B$23,2,FALSE)</f>
        <v>NA</v>
      </c>
      <c r="W68" s="24" t="str">
        <f t="shared" si="1"/>
        <v>1NANANA</v>
      </c>
    </row>
    <row r="69" spans="1:24" ht="29.5" thickBot="1">
      <c r="A69" s="75">
        <v>5.67</v>
      </c>
      <c r="B69" s="379"/>
      <c r="C69" s="367"/>
      <c r="D69" s="259"/>
      <c r="E69" s="142" t="s">
        <v>302</v>
      </c>
      <c r="F69" s="259" t="s">
        <v>105</v>
      </c>
      <c r="G69" s="257" t="s">
        <v>127</v>
      </c>
      <c r="H69" s="59" t="s">
        <v>91</v>
      </c>
      <c r="I69" s="259" t="s">
        <v>91</v>
      </c>
      <c r="J69" s="259" t="s">
        <v>91</v>
      </c>
      <c r="K69" s="272">
        <f t="shared" si="0"/>
        <v>1</v>
      </c>
      <c r="L69" s="272">
        <f>IF(AND(D69="K",K69=1),'Maturity Rating'!$E$8,IF(K69="NA",K69,IF(D69="K",K69*'Maturity Rating'!$E$7,K69)))</f>
        <v>1</v>
      </c>
      <c r="M69" s="370"/>
      <c r="N69" s="372"/>
      <c r="O69" s="343"/>
      <c r="P69" s="21"/>
      <c r="Q69" s="21"/>
      <c r="S69" s="257">
        <f>VLOOKUP(G69,'Maturity Rating'!A$2:B$5,2,FALSE)</f>
        <v>1</v>
      </c>
      <c r="T69" s="257" t="str">
        <f>VLOOKUP(H69,'Maturity Rating'!A$8:B$11,2,FALSE)</f>
        <v>NA</v>
      </c>
      <c r="U69" s="257" t="str">
        <f>VLOOKUP(I69,'Maturity Rating'!A$14:B$17,2,FALSE)</f>
        <v>NA</v>
      </c>
      <c r="V69" s="257" t="str">
        <f>VLOOKUP(J69,'Maturity Rating'!A$20:B$23,2,FALSE)</f>
        <v>NA</v>
      </c>
      <c r="W69" s="24" t="str">
        <f t="shared" si="1"/>
        <v>1NANANA</v>
      </c>
    </row>
    <row r="70" spans="1:24" ht="30" customHeight="1">
      <c r="A70" s="36">
        <v>5.68</v>
      </c>
      <c r="B70" s="377" t="s">
        <v>303</v>
      </c>
      <c r="C70" s="368" t="s">
        <v>304</v>
      </c>
      <c r="D70" s="256"/>
      <c r="E70" s="137" t="s">
        <v>305</v>
      </c>
      <c r="F70" s="264" t="s">
        <v>89</v>
      </c>
      <c r="G70" s="257" t="s">
        <v>127</v>
      </c>
      <c r="H70" s="256" t="s">
        <v>91</v>
      </c>
      <c r="I70" s="256" t="s">
        <v>91</v>
      </c>
      <c r="J70" s="256" t="s">
        <v>91</v>
      </c>
      <c r="K70" s="278">
        <f t="shared" si="0"/>
        <v>1</v>
      </c>
      <c r="L70" s="278">
        <f>IF(AND(D70="K",K70=1),'Maturity Rating'!$E$8,IF(K70="NA",K70,IF(D70="K",K70*'Maturity Rating'!$E$7,K70)))</f>
        <v>1</v>
      </c>
      <c r="M70" s="381">
        <f>IF(X70="NANANANANANANA",K70,AVERAGE(L70:L76))</f>
        <v>1.2</v>
      </c>
      <c r="N70" s="381">
        <f>IF(M70&lt;1.1,1,IF(M70="NA",M70,(MIN(5,M70/3*5))))</f>
        <v>1.9999999999999998</v>
      </c>
      <c r="O70" s="341" t="str">
        <f>IF(N70="NA",N70,VLOOKUP(Q70,'Maturity Rating'!G4:H8,2,FALSE))</f>
        <v>Partial</v>
      </c>
      <c r="P70" s="21"/>
      <c r="Q70" s="244">
        <f>IF(N70="NA",N70,ROUNDDOWN(N70,0))</f>
        <v>2</v>
      </c>
      <c r="S70" s="257">
        <f>VLOOKUP(G70,'Maturity Rating'!A$2:B$5,2,FALSE)</f>
        <v>1</v>
      </c>
      <c r="T70" s="257" t="str">
        <f>VLOOKUP(H70,'Maturity Rating'!A$8:B$11,2,FALSE)</f>
        <v>NA</v>
      </c>
      <c r="U70" s="257" t="str">
        <f>VLOOKUP(I70,'Maturity Rating'!A$14:B$17,2,FALSE)</f>
        <v>NA</v>
      </c>
      <c r="V70" s="257" t="str">
        <f>VLOOKUP(J70,'Maturity Rating'!A$20:B$23,2,FALSE)</f>
        <v>NA</v>
      </c>
      <c r="W70" s="24" t="str">
        <f t="shared" si="1"/>
        <v>1NANANA</v>
      </c>
      <c r="X70" s="24" t="str">
        <f>CONCATENATE(L70,L71,L72,L73,L74,L76)</f>
        <v>112.4111</v>
      </c>
    </row>
    <row r="71" spans="1:24" ht="29">
      <c r="A71" s="74">
        <v>5.69</v>
      </c>
      <c r="B71" s="378"/>
      <c r="C71" s="365"/>
      <c r="D71" s="257"/>
      <c r="E71" s="132" t="s">
        <v>93</v>
      </c>
      <c r="F71" s="257" t="s">
        <v>89</v>
      </c>
      <c r="G71" s="257" t="s">
        <v>127</v>
      </c>
      <c r="H71" s="257" t="s">
        <v>91</v>
      </c>
      <c r="I71" s="257" t="s">
        <v>91</v>
      </c>
      <c r="J71" s="257" t="s">
        <v>91</v>
      </c>
      <c r="K71" s="271">
        <f t="shared" si="0"/>
        <v>1</v>
      </c>
      <c r="L71" s="273">
        <f>IF(AND(D71="K",K71=1),'Maturity Rating'!$E$8,IF(K71="NA",K71,IF(D71="K",K71*'Maturity Rating'!$E$7,K71)))</f>
        <v>1</v>
      </c>
      <c r="M71" s="374"/>
      <c r="N71" s="374"/>
      <c r="O71" s="342"/>
      <c r="P71" s="21"/>
      <c r="Q71" s="21"/>
      <c r="S71" s="257">
        <f>VLOOKUP(G71,'Maturity Rating'!A$2:B$5,2,FALSE)</f>
        <v>1</v>
      </c>
      <c r="T71" s="257" t="str">
        <f>VLOOKUP(H71,'Maturity Rating'!A$8:B$11,2,FALSE)</f>
        <v>NA</v>
      </c>
      <c r="U71" s="257" t="str">
        <f>VLOOKUP(I71,'Maturity Rating'!A$14:B$17,2,FALSE)</f>
        <v>NA</v>
      </c>
      <c r="V71" s="257" t="str">
        <f>VLOOKUP(J71,'Maturity Rating'!A$20:B$23,2,FALSE)</f>
        <v>NA</v>
      </c>
      <c r="W71" s="24" t="str">
        <f t="shared" si="1"/>
        <v>1NANANA</v>
      </c>
    </row>
    <row r="72" spans="1:24" ht="28.5" customHeight="1">
      <c r="A72" s="74" t="s">
        <v>306</v>
      </c>
      <c r="B72" s="378"/>
      <c r="C72" s="365"/>
      <c r="D72" s="257" t="s">
        <v>87</v>
      </c>
      <c r="E72" s="141" t="s">
        <v>307</v>
      </c>
      <c r="F72" s="257" t="s">
        <v>105</v>
      </c>
      <c r="G72" s="257" t="s">
        <v>90</v>
      </c>
      <c r="H72" s="55" t="s">
        <v>125</v>
      </c>
      <c r="I72" s="55" t="s">
        <v>101</v>
      </c>
      <c r="J72" s="257" t="s">
        <v>464</v>
      </c>
      <c r="K72" s="271">
        <f t="shared" si="0"/>
        <v>2</v>
      </c>
      <c r="L72" s="273">
        <f>IF(AND(D72="K",K72=1),'Maturity Rating'!$E$8,IF(K72="NA",K72,IF(D72="K",K72*'Maturity Rating'!$E$7,K72)))</f>
        <v>2.4</v>
      </c>
      <c r="M72" s="374"/>
      <c r="N72" s="374"/>
      <c r="O72" s="342"/>
      <c r="P72" s="21"/>
      <c r="Q72" s="21"/>
      <c r="S72" s="257">
        <f>VLOOKUP(G72,'Maturity Rating'!A$2:B$5,2,FALSE)</f>
        <v>2</v>
      </c>
      <c r="T72" s="257">
        <f>VLOOKUP(H72,'Maturity Rating'!A$8:B$11,2,FALSE)</f>
        <v>2</v>
      </c>
      <c r="U72" s="257">
        <f>VLOOKUP(I72,'Maturity Rating'!A$14:B$17,2,FALSE)</f>
        <v>2</v>
      </c>
      <c r="V72" s="257">
        <f>VLOOKUP(J72,'Maturity Rating'!A$20:B$23,2,FALSE)</f>
        <v>2</v>
      </c>
      <c r="W72" s="24" t="str">
        <f t="shared" ref="W72:W89" si="12">CONCATENATE(S72,T72,U72,V72)</f>
        <v>2222</v>
      </c>
    </row>
    <row r="73" spans="1:24" ht="35.25" customHeight="1">
      <c r="A73" s="74">
        <v>5.71</v>
      </c>
      <c r="B73" s="378"/>
      <c r="C73" s="365"/>
      <c r="D73" s="257"/>
      <c r="E73" s="132" t="s">
        <v>308</v>
      </c>
      <c r="F73" s="257" t="s">
        <v>89</v>
      </c>
      <c r="G73" s="257" t="s">
        <v>127</v>
      </c>
      <c r="H73" s="55" t="s">
        <v>91</v>
      </c>
      <c r="I73" s="55" t="s">
        <v>91</v>
      </c>
      <c r="J73" s="257" t="s">
        <v>91</v>
      </c>
      <c r="K73" s="271">
        <f t="shared" ref="K73:K89" si="13">IF(W73="NANANANA",S73,IF(AND(OR(G73="Formally Documented",G73="Informally Documented"),H73="Not Implemented"),0.5*AVERAGE(S73:V73),AVERAGE(S73:V73)))</f>
        <v>1</v>
      </c>
      <c r="L73" s="273">
        <f>IF(AND(D73="K",K73=1),'Maturity Rating'!$E$8,IF(K73="NA",K73,IF(D73="K",K73*'Maturity Rating'!$E$7,K73)))</f>
        <v>1</v>
      </c>
      <c r="M73" s="374"/>
      <c r="N73" s="374"/>
      <c r="O73" s="342"/>
      <c r="P73" s="21"/>
      <c r="Q73" s="21"/>
      <c r="S73" s="257">
        <f>VLOOKUP(G73,'Maturity Rating'!A$2:B$5,2,FALSE)</f>
        <v>1</v>
      </c>
      <c r="T73" s="257" t="str">
        <f>VLOOKUP(H73,'Maturity Rating'!A$8:B$11,2,FALSE)</f>
        <v>NA</v>
      </c>
      <c r="U73" s="257" t="str">
        <f>VLOOKUP(I73,'Maturity Rating'!A$14:B$17,2,FALSE)</f>
        <v>NA</v>
      </c>
      <c r="V73" s="257" t="str">
        <f>VLOOKUP(J73,'Maturity Rating'!A$20:B$23,2,FALSE)</f>
        <v>NA</v>
      </c>
      <c r="W73" s="24" t="str">
        <f t="shared" si="12"/>
        <v>1NANANA</v>
      </c>
    </row>
    <row r="74" spans="1:24" ht="29">
      <c r="A74" s="74">
        <v>5.72</v>
      </c>
      <c r="B74" s="378"/>
      <c r="C74" s="365"/>
      <c r="D74" s="257"/>
      <c r="E74" s="132" t="s">
        <v>309</v>
      </c>
      <c r="F74" s="257" t="s">
        <v>89</v>
      </c>
      <c r="G74" s="257" t="s">
        <v>127</v>
      </c>
      <c r="H74" s="55" t="s">
        <v>91</v>
      </c>
      <c r="I74" s="55" t="s">
        <v>91</v>
      </c>
      <c r="J74" s="257" t="s">
        <v>91</v>
      </c>
      <c r="K74" s="271">
        <f t="shared" si="13"/>
        <v>1</v>
      </c>
      <c r="L74" s="273">
        <f>IF(AND(D74="K",K74=1),'Maturity Rating'!$E$8,IF(K74="NA",K74,IF(D74="K",K74*'Maturity Rating'!$E$7,K74)))</f>
        <v>1</v>
      </c>
      <c r="M74" s="374"/>
      <c r="N74" s="374"/>
      <c r="O74" s="342"/>
      <c r="P74" s="21"/>
      <c r="Q74" s="21"/>
      <c r="S74" s="257">
        <f>VLOOKUP(G74,'Maturity Rating'!A$2:B$5,2,FALSE)</f>
        <v>1</v>
      </c>
      <c r="T74" s="257" t="str">
        <f>VLOOKUP(H74,'Maturity Rating'!A$8:B$11,2,FALSE)</f>
        <v>NA</v>
      </c>
      <c r="U74" s="257" t="str">
        <f>VLOOKUP(I74,'Maturity Rating'!A$14:B$17,2,FALSE)</f>
        <v>NA</v>
      </c>
      <c r="V74" s="257" t="str">
        <f>VLOOKUP(J74,'Maturity Rating'!A$20:B$23,2,FALSE)</f>
        <v>NA</v>
      </c>
      <c r="W74" s="24" t="str">
        <f t="shared" si="12"/>
        <v>1NANANA</v>
      </c>
    </row>
    <row r="75" spans="1:24" ht="29">
      <c r="A75" s="74">
        <v>5.73</v>
      </c>
      <c r="B75" s="383"/>
      <c r="C75" s="366"/>
      <c r="D75" s="258"/>
      <c r="E75" s="144" t="s">
        <v>310</v>
      </c>
      <c r="F75" s="257" t="s">
        <v>89</v>
      </c>
      <c r="G75" s="257" t="s">
        <v>127</v>
      </c>
      <c r="H75" s="55" t="s">
        <v>91</v>
      </c>
      <c r="I75" s="55" t="s">
        <v>91</v>
      </c>
      <c r="J75" s="257" t="s">
        <v>91</v>
      </c>
      <c r="K75" s="271">
        <f t="shared" ref="K75" si="14">IF(W75="NANANANA",S75,IF(AND(OR(G75="Formally Documented",G75="Informally Documented"),H75="Not Implemented"),0.5*AVERAGE(S75:V75),AVERAGE(S75:V75)))</f>
        <v>1</v>
      </c>
      <c r="L75" s="273">
        <f>IF(AND(D75="K",K75=1),'Maturity Rating'!$E$8,IF(K75="NA",K75,IF(D75="K",K75*'Maturity Rating'!$E$7,K75)))</f>
        <v>1</v>
      </c>
      <c r="M75" s="375"/>
      <c r="N75" s="375"/>
      <c r="O75" s="352"/>
      <c r="P75" s="21"/>
      <c r="Q75" s="21"/>
      <c r="S75" s="257">
        <f>VLOOKUP(G75,'Maturity Rating'!A$2:B$5,2,FALSE)</f>
        <v>1</v>
      </c>
      <c r="T75" s="257" t="str">
        <f>VLOOKUP(H75,'Maturity Rating'!A$8:B$11,2,FALSE)</f>
        <v>NA</v>
      </c>
      <c r="U75" s="257" t="str">
        <f>VLOOKUP(I75,'Maturity Rating'!A$14:B$17,2,FALSE)</f>
        <v>NA</v>
      </c>
      <c r="V75" s="257" t="str">
        <f>VLOOKUP(J75,'Maturity Rating'!A$20:B$23,2,FALSE)</f>
        <v>NA</v>
      </c>
      <c r="W75" s="24" t="str">
        <f t="shared" ref="W75" si="15">CONCATENATE(S75,T75,U75,V75)</f>
        <v>1NANANA</v>
      </c>
    </row>
    <row r="76" spans="1:24" ht="29.5" thickBot="1">
      <c r="A76" s="75">
        <v>5.74</v>
      </c>
      <c r="B76" s="379"/>
      <c r="C76" s="367"/>
      <c r="D76" s="259"/>
      <c r="E76" s="142" t="s">
        <v>311</v>
      </c>
      <c r="F76" s="259" t="s">
        <v>89</v>
      </c>
      <c r="G76" s="259" t="s">
        <v>127</v>
      </c>
      <c r="H76" s="259" t="s">
        <v>91</v>
      </c>
      <c r="I76" s="259" t="s">
        <v>91</v>
      </c>
      <c r="J76" s="259" t="s">
        <v>91</v>
      </c>
      <c r="K76" s="272">
        <f t="shared" si="13"/>
        <v>1</v>
      </c>
      <c r="L76" s="272">
        <f>IF(AND(D76="K",K76=1),'Maturity Rating'!$E$8,IF(K76="NA",K76,IF(D76="K",K76*'Maturity Rating'!$E$7,K76)))</f>
        <v>1</v>
      </c>
      <c r="M76" s="372"/>
      <c r="N76" s="372"/>
      <c r="O76" s="343"/>
      <c r="P76" s="21"/>
      <c r="Q76" s="21"/>
      <c r="S76" s="257">
        <f>VLOOKUP(G76,'Maturity Rating'!A$2:B$5,2,FALSE)</f>
        <v>1</v>
      </c>
      <c r="T76" s="257" t="str">
        <f>VLOOKUP(H76,'Maturity Rating'!A$8:B$11,2,FALSE)</f>
        <v>NA</v>
      </c>
      <c r="U76" s="257" t="str">
        <f>VLOOKUP(I76,'Maturity Rating'!A$14:B$17,2,FALSE)</f>
        <v>NA</v>
      </c>
      <c r="V76" s="257" t="str">
        <f>VLOOKUP(J76,'Maturity Rating'!A$20:B$23,2,FALSE)</f>
        <v>NA</v>
      </c>
      <c r="W76" s="24" t="str">
        <f t="shared" si="12"/>
        <v>1NANANA</v>
      </c>
    </row>
    <row r="77" spans="1:24" ht="29">
      <c r="A77" s="36">
        <v>5.75</v>
      </c>
      <c r="B77" s="377" t="s">
        <v>312</v>
      </c>
      <c r="C77" s="368" t="s">
        <v>313</v>
      </c>
      <c r="D77" s="256"/>
      <c r="E77" s="137" t="s">
        <v>314</v>
      </c>
      <c r="F77" s="256" t="s">
        <v>89</v>
      </c>
      <c r="G77" s="256" t="s">
        <v>118</v>
      </c>
      <c r="H77" s="256" t="s">
        <v>100</v>
      </c>
      <c r="I77" s="256" t="s">
        <v>120</v>
      </c>
      <c r="J77" s="256" t="s">
        <v>129</v>
      </c>
      <c r="K77" s="278">
        <f t="shared" si="13"/>
        <v>3</v>
      </c>
      <c r="L77" s="278">
        <f>IF(AND(D77="K",K77=1),'Maturity Rating'!$E$8,IF(K77="NA",K77,IF(D77="K",K77*'Maturity Rating'!$E$7,K77)))</f>
        <v>3</v>
      </c>
      <c r="M77" s="380">
        <f>IF(X77="NANANANANANANANANANANA",K77,AVERAGE(L77:L89))</f>
        <v>1.1384615384615384</v>
      </c>
      <c r="N77" s="381">
        <f>IF(M77&lt;1.1,1,IF(M77="NA",M77,(MIN(5,M77/3*5))))</f>
        <v>1.8974358974358974</v>
      </c>
      <c r="O77" s="341" t="str">
        <f>IF(N77="NA",N77,VLOOKUP(Q77,'Maturity Rating'!G4:H8,2,FALSE))</f>
        <v>Initial</v>
      </c>
      <c r="P77" s="21"/>
      <c r="Q77" s="244">
        <f>IF(N77="NA",N77,ROUNDDOWN(N77,0))</f>
        <v>1</v>
      </c>
      <c r="S77" s="257">
        <f>VLOOKUP(G77,'Maturity Rating'!A$2:B$5,2,FALSE)</f>
        <v>3</v>
      </c>
      <c r="T77" s="257">
        <f>VLOOKUP(H77,'Maturity Rating'!A$8:B$11,2,FALSE)</f>
        <v>3</v>
      </c>
      <c r="U77" s="257">
        <f>VLOOKUP(I77,'Maturity Rating'!A$14:B$17,2,FALSE)</f>
        <v>3</v>
      </c>
      <c r="V77" s="257">
        <f>VLOOKUP(J77,'Maturity Rating'!A$20:B$23,2,FALSE)</f>
        <v>3</v>
      </c>
      <c r="W77" s="24" t="str">
        <f t="shared" si="12"/>
        <v>3333</v>
      </c>
      <c r="X77" s="24" t="str">
        <f>CONCATENATE(L77,L78,L79,L80,L81,L82,L83,L84,L85,L86,L87,L88,L89)</f>
        <v>31110.811111111</v>
      </c>
    </row>
    <row r="78" spans="1:24" ht="29">
      <c r="A78" s="74">
        <v>5.76</v>
      </c>
      <c r="B78" s="378"/>
      <c r="C78" s="365"/>
      <c r="D78" s="257"/>
      <c r="E78" s="132" t="s">
        <v>315</v>
      </c>
      <c r="F78" s="257" t="s">
        <v>105</v>
      </c>
      <c r="G78" s="257" t="s">
        <v>127</v>
      </c>
      <c r="H78" s="257" t="s">
        <v>91</v>
      </c>
      <c r="I78" s="257" t="s">
        <v>91</v>
      </c>
      <c r="J78" s="257" t="s">
        <v>91</v>
      </c>
      <c r="K78" s="271">
        <f t="shared" si="13"/>
        <v>1</v>
      </c>
      <c r="L78" s="273">
        <f>IF(AND(D78="K",K78=1),'Maturity Rating'!$E$8,IF(K78="NA",K78,IF(D78="K",K78*'Maturity Rating'!$E$7,K78)))</f>
        <v>1</v>
      </c>
      <c r="M78" s="373"/>
      <c r="N78" s="374"/>
      <c r="O78" s="342"/>
      <c r="P78" s="21"/>
      <c r="Q78" s="21"/>
      <c r="S78" s="257">
        <f>VLOOKUP(G78,'Maturity Rating'!A$2:B$5,2,FALSE)</f>
        <v>1</v>
      </c>
      <c r="T78" s="257" t="str">
        <f>VLOOKUP(H78,'Maturity Rating'!A$8:B$11,2,FALSE)</f>
        <v>NA</v>
      </c>
      <c r="U78" s="257" t="str">
        <f>VLOOKUP(I78,'Maturity Rating'!A$14:B$17,2,FALSE)</f>
        <v>NA</v>
      </c>
      <c r="V78" s="257" t="str">
        <f>VLOOKUP(J78,'Maturity Rating'!A$20:B$23,2,FALSE)</f>
        <v>NA</v>
      </c>
      <c r="W78" s="24" t="str">
        <f t="shared" si="12"/>
        <v>1NANANA</v>
      </c>
    </row>
    <row r="79" spans="1:24" ht="29">
      <c r="A79" s="74">
        <v>5.77</v>
      </c>
      <c r="B79" s="378"/>
      <c r="C79" s="365"/>
      <c r="D79" s="257"/>
      <c r="E79" s="132" t="s">
        <v>316</v>
      </c>
      <c r="F79" s="257" t="s">
        <v>89</v>
      </c>
      <c r="G79" s="257" t="s">
        <v>127</v>
      </c>
      <c r="H79" s="55" t="s">
        <v>91</v>
      </c>
      <c r="I79" s="55" t="s">
        <v>91</v>
      </c>
      <c r="J79" s="257" t="s">
        <v>91</v>
      </c>
      <c r="K79" s="271">
        <f t="shared" si="13"/>
        <v>1</v>
      </c>
      <c r="L79" s="273">
        <f>IF(AND(D79="K",K79=1),'Maturity Rating'!$E$8,IF(K79="NA",K79,IF(D79="K",K79*'Maturity Rating'!$E$7,K79)))</f>
        <v>1</v>
      </c>
      <c r="M79" s="373"/>
      <c r="N79" s="374"/>
      <c r="O79" s="342"/>
      <c r="P79" s="21"/>
      <c r="Q79" s="21"/>
      <c r="S79" s="257">
        <f>VLOOKUP(G79,'Maturity Rating'!A$2:B$5,2,FALSE)</f>
        <v>1</v>
      </c>
      <c r="T79" s="257" t="str">
        <f>VLOOKUP(H79,'Maturity Rating'!A$8:B$11,2,FALSE)</f>
        <v>NA</v>
      </c>
      <c r="U79" s="257" t="str">
        <f>VLOOKUP(I79,'Maturity Rating'!A$14:B$17,2,FALSE)</f>
        <v>NA</v>
      </c>
      <c r="V79" s="257" t="str">
        <f>VLOOKUP(J79,'Maturity Rating'!A$20:B$23,2,FALSE)</f>
        <v>NA</v>
      </c>
      <c r="W79" s="24" t="str">
        <f t="shared" si="12"/>
        <v>1NANANA</v>
      </c>
    </row>
    <row r="80" spans="1:24" ht="29">
      <c r="A80" s="74">
        <v>5.78</v>
      </c>
      <c r="B80" s="378"/>
      <c r="C80" s="365"/>
      <c r="D80" s="257"/>
      <c r="E80" s="132" t="s">
        <v>317</v>
      </c>
      <c r="F80" s="257" t="s">
        <v>89</v>
      </c>
      <c r="G80" s="257" t="s">
        <v>127</v>
      </c>
      <c r="H80" s="55" t="s">
        <v>91</v>
      </c>
      <c r="I80" s="55" t="s">
        <v>91</v>
      </c>
      <c r="J80" s="257" t="s">
        <v>91</v>
      </c>
      <c r="K80" s="271">
        <f t="shared" si="13"/>
        <v>1</v>
      </c>
      <c r="L80" s="273">
        <f>IF(AND(D80="K",K80=1),'Maturity Rating'!$E$8,IF(K80="NA",K80,IF(D80="K",K80*'Maturity Rating'!$E$7,K80)))</f>
        <v>1</v>
      </c>
      <c r="M80" s="373"/>
      <c r="N80" s="374"/>
      <c r="O80" s="342"/>
      <c r="P80" s="21"/>
      <c r="Q80" s="21"/>
      <c r="S80" s="257">
        <f>VLOOKUP(G80,'Maturity Rating'!A$2:B$5,2,FALSE)</f>
        <v>1</v>
      </c>
      <c r="T80" s="257" t="str">
        <f>VLOOKUP(H80,'Maturity Rating'!A$8:B$11,2,FALSE)</f>
        <v>NA</v>
      </c>
      <c r="U80" s="257" t="str">
        <f>VLOOKUP(I80,'Maturity Rating'!A$14:B$17,2,FALSE)</f>
        <v>NA</v>
      </c>
      <c r="V80" s="257" t="str">
        <f>VLOOKUP(J80,'Maturity Rating'!A$20:B$23,2,FALSE)</f>
        <v>NA</v>
      </c>
      <c r="W80" s="24" t="str">
        <f t="shared" si="12"/>
        <v>1NANANA</v>
      </c>
    </row>
    <row r="81" spans="1:24" ht="29">
      <c r="A81" s="74">
        <v>5.79</v>
      </c>
      <c r="B81" s="378"/>
      <c r="C81" s="365"/>
      <c r="D81" s="257" t="s">
        <v>87</v>
      </c>
      <c r="E81" s="141" t="s">
        <v>318</v>
      </c>
      <c r="F81" s="257" t="s">
        <v>105</v>
      </c>
      <c r="G81" s="257" t="s">
        <v>127</v>
      </c>
      <c r="H81" s="55" t="s">
        <v>91</v>
      </c>
      <c r="I81" s="55" t="s">
        <v>91</v>
      </c>
      <c r="J81" s="257" t="s">
        <v>91</v>
      </c>
      <c r="K81" s="271">
        <f t="shared" si="13"/>
        <v>1</v>
      </c>
      <c r="L81" s="273">
        <f>IF(AND(D81="K",K81=1),'Maturity Rating'!$E$8,IF(K81="NA",K81,IF(D81="K",K81*'Maturity Rating'!$E$7,K81)))</f>
        <v>0.8</v>
      </c>
      <c r="M81" s="373"/>
      <c r="N81" s="374"/>
      <c r="O81" s="342"/>
      <c r="P81" s="21"/>
      <c r="Q81" s="21"/>
      <c r="S81" s="257">
        <f>VLOOKUP(G81,'Maturity Rating'!A$2:B$5,2,FALSE)</f>
        <v>1</v>
      </c>
      <c r="T81" s="257" t="str">
        <f>VLOOKUP(H81,'Maturity Rating'!A$8:B$11,2,FALSE)</f>
        <v>NA</v>
      </c>
      <c r="U81" s="257" t="str">
        <f>VLOOKUP(I81,'Maturity Rating'!A$14:B$17,2,FALSE)</f>
        <v>NA</v>
      </c>
      <c r="V81" s="257" t="str">
        <f>VLOOKUP(J81,'Maturity Rating'!A$20:B$23,2,FALSE)</f>
        <v>NA</v>
      </c>
      <c r="W81" s="24" t="str">
        <f t="shared" si="12"/>
        <v>1NANANA</v>
      </c>
    </row>
    <row r="82" spans="1:24" ht="29">
      <c r="A82" s="74" t="s">
        <v>319</v>
      </c>
      <c r="B82" s="378"/>
      <c r="C82" s="365"/>
      <c r="D82" s="257"/>
      <c r="E82" s="132" t="s">
        <v>320</v>
      </c>
      <c r="F82" s="257" t="s">
        <v>105</v>
      </c>
      <c r="G82" s="257" t="s">
        <v>127</v>
      </c>
      <c r="H82" s="55" t="s">
        <v>91</v>
      </c>
      <c r="I82" s="55" t="s">
        <v>91</v>
      </c>
      <c r="J82" s="257" t="s">
        <v>91</v>
      </c>
      <c r="K82" s="271">
        <f t="shared" si="13"/>
        <v>1</v>
      </c>
      <c r="L82" s="273">
        <f>IF(AND(D82="K",K82=1),'Maturity Rating'!$E$8,IF(K82="NA",K82,IF(D82="K",K82*'Maturity Rating'!$E$7,K82)))</f>
        <v>1</v>
      </c>
      <c r="M82" s="373"/>
      <c r="N82" s="374"/>
      <c r="O82" s="342"/>
      <c r="P82" s="21"/>
      <c r="Q82" s="21"/>
      <c r="S82" s="257">
        <f>VLOOKUP(G82,'Maturity Rating'!A$2:B$5,2,FALSE)</f>
        <v>1</v>
      </c>
      <c r="T82" s="257" t="str">
        <f>VLOOKUP(H82,'Maturity Rating'!A$8:B$11,2,FALSE)</f>
        <v>NA</v>
      </c>
      <c r="U82" s="257" t="str">
        <f>VLOOKUP(I82,'Maturity Rating'!A$14:B$17,2,FALSE)</f>
        <v>NA</v>
      </c>
      <c r="V82" s="257" t="str">
        <f>VLOOKUP(J82,'Maturity Rating'!A$20:B$23,2,FALSE)</f>
        <v>NA</v>
      </c>
      <c r="W82" s="24" t="str">
        <f t="shared" si="12"/>
        <v>1NANANA</v>
      </c>
    </row>
    <row r="83" spans="1:24" ht="29">
      <c r="A83" s="74">
        <v>5.81</v>
      </c>
      <c r="B83" s="378"/>
      <c r="C83" s="365"/>
      <c r="D83" s="257"/>
      <c r="E83" s="132" t="s">
        <v>321</v>
      </c>
      <c r="F83" s="257" t="s">
        <v>89</v>
      </c>
      <c r="G83" s="257" t="s">
        <v>127</v>
      </c>
      <c r="H83" s="55" t="s">
        <v>91</v>
      </c>
      <c r="I83" s="55" t="s">
        <v>91</v>
      </c>
      <c r="J83" s="257" t="s">
        <v>91</v>
      </c>
      <c r="K83" s="271">
        <f t="shared" si="13"/>
        <v>1</v>
      </c>
      <c r="L83" s="273">
        <f>IF(AND(D83="K",K83=1),'Maturity Rating'!$E$8,IF(K83="NA",K83,IF(D83="K",K83*'Maturity Rating'!$E$7,K83)))</f>
        <v>1</v>
      </c>
      <c r="M83" s="373"/>
      <c r="N83" s="374"/>
      <c r="O83" s="342"/>
      <c r="P83" s="21"/>
      <c r="Q83" s="21"/>
      <c r="S83" s="257">
        <f>VLOOKUP(G83,'Maturity Rating'!A$2:B$5,2,FALSE)</f>
        <v>1</v>
      </c>
      <c r="T83" s="257" t="str">
        <f>VLOOKUP(H83,'Maturity Rating'!A$8:B$11,2,FALSE)</f>
        <v>NA</v>
      </c>
      <c r="U83" s="257" t="str">
        <f>VLOOKUP(I83,'Maturity Rating'!A$14:B$17,2,FALSE)</f>
        <v>NA</v>
      </c>
      <c r="V83" s="257" t="str">
        <f>VLOOKUP(J83,'Maturity Rating'!A$20:B$23,2,FALSE)</f>
        <v>NA</v>
      </c>
      <c r="W83" s="24" t="str">
        <f t="shared" si="12"/>
        <v>1NANANA</v>
      </c>
    </row>
    <row r="84" spans="1:24" ht="29">
      <c r="A84" s="74">
        <v>5.82</v>
      </c>
      <c r="B84" s="378"/>
      <c r="C84" s="365"/>
      <c r="D84" s="257"/>
      <c r="E84" s="132" t="s">
        <v>322</v>
      </c>
      <c r="F84" s="257" t="s">
        <v>89</v>
      </c>
      <c r="G84" s="257" t="s">
        <v>127</v>
      </c>
      <c r="H84" s="55" t="s">
        <v>91</v>
      </c>
      <c r="I84" s="55" t="s">
        <v>91</v>
      </c>
      <c r="J84" s="257" t="s">
        <v>91</v>
      </c>
      <c r="K84" s="271">
        <f t="shared" si="13"/>
        <v>1</v>
      </c>
      <c r="L84" s="273">
        <f>IF(AND(D84="K",K84=1),'Maturity Rating'!$E$8,IF(K84="NA",K84,IF(D84="K",K84*'Maturity Rating'!$E$7,K84)))</f>
        <v>1</v>
      </c>
      <c r="M84" s="373"/>
      <c r="N84" s="374"/>
      <c r="O84" s="342"/>
      <c r="P84" s="21"/>
      <c r="Q84" s="21"/>
      <c r="S84" s="257">
        <f>VLOOKUP(G84,'Maturity Rating'!A$2:B$5,2,FALSE)</f>
        <v>1</v>
      </c>
      <c r="T84" s="257" t="str">
        <f>VLOOKUP(H84,'Maturity Rating'!A$8:B$11,2,FALSE)</f>
        <v>NA</v>
      </c>
      <c r="U84" s="257" t="str">
        <f>VLOOKUP(I84,'Maturity Rating'!A$14:B$17,2,FALSE)</f>
        <v>NA</v>
      </c>
      <c r="V84" s="257" t="str">
        <f>VLOOKUP(J84,'Maturity Rating'!A$20:B$23,2,FALSE)</f>
        <v>NA</v>
      </c>
      <c r="W84" s="24" t="str">
        <f t="shared" si="12"/>
        <v>1NANANA</v>
      </c>
    </row>
    <row r="85" spans="1:24" ht="29">
      <c r="A85" s="74">
        <v>5.83</v>
      </c>
      <c r="B85" s="378"/>
      <c r="C85" s="365"/>
      <c r="D85" s="257"/>
      <c r="E85" s="132" t="s">
        <v>323</v>
      </c>
      <c r="F85" s="257" t="s">
        <v>89</v>
      </c>
      <c r="G85" s="257" t="s">
        <v>127</v>
      </c>
      <c r="H85" s="55" t="s">
        <v>91</v>
      </c>
      <c r="I85" s="55" t="s">
        <v>91</v>
      </c>
      <c r="J85" s="257" t="s">
        <v>91</v>
      </c>
      <c r="K85" s="271">
        <f t="shared" ref="K85:K86" si="16">IF(W85="NANANANA",S85,IF(AND(OR(G85="Formally Documented",G85="Informally Documented"),H85="Not Implemented"),0.5*AVERAGE(S85:V85),AVERAGE(S85:V85)))</f>
        <v>1</v>
      </c>
      <c r="L85" s="273">
        <f>IF(AND(D85="K",K85=1),'Maturity Rating'!$E$8,IF(K85="NA",K85,IF(D85="K",K85*'Maturity Rating'!$E$7,K85)))</f>
        <v>1</v>
      </c>
      <c r="M85" s="373"/>
      <c r="N85" s="374"/>
      <c r="O85" s="342"/>
      <c r="P85" s="21"/>
      <c r="Q85" s="21"/>
      <c r="S85" s="257">
        <f>VLOOKUP(G85,'Maturity Rating'!A$2:B$5,2,FALSE)</f>
        <v>1</v>
      </c>
      <c r="T85" s="257" t="str">
        <f>VLOOKUP(H85,'Maturity Rating'!A$8:B$11,2,FALSE)</f>
        <v>NA</v>
      </c>
      <c r="U85" s="257" t="str">
        <f>VLOOKUP(I85,'Maturity Rating'!A$14:B$17,2,FALSE)</f>
        <v>NA</v>
      </c>
      <c r="V85" s="257" t="str">
        <f>VLOOKUP(J85,'Maturity Rating'!A$20:B$23,2,FALSE)</f>
        <v>NA</v>
      </c>
      <c r="W85" s="24" t="str">
        <f t="shared" ref="W85:W86" si="17">CONCATENATE(S85,T85,U85,V85)</f>
        <v>1NANANA</v>
      </c>
    </row>
    <row r="86" spans="1:24" ht="29">
      <c r="A86" s="74">
        <v>5.84</v>
      </c>
      <c r="B86" s="378"/>
      <c r="C86" s="365"/>
      <c r="D86" s="257"/>
      <c r="E86" s="132" t="s">
        <v>324</v>
      </c>
      <c r="F86" s="257" t="s">
        <v>89</v>
      </c>
      <c r="G86" s="257" t="s">
        <v>127</v>
      </c>
      <c r="H86" s="55" t="s">
        <v>91</v>
      </c>
      <c r="I86" s="55" t="s">
        <v>91</v>
      </c>
      <c r="J86" s="257" t="s">
        <v>91</v>
      </c>
      <c r="K86" s="271">
        <f t="shared" si="16"/>
        <v>1</v>
      </c>
      <c r="L86" s="273">
        <f>IF(AND(D86="K",K86=1),'Maturity Rating'!$E$8,IF(K86="NA",K86,IF(D86="K",K86*'Maturity Rating'!$E$7,K86)))</f>
        <v>1</v>
      </c>
      <c r="M86" s="373"/>
      <c r="N86" s="374"/>
      <c r="O86" s="342"/>
      <c r="P86" s="21"/>
      <c r="Q86" s="21"/>
      <c r="S86" s="257">
        <f>VLOOKUP(G86,'Maturity Rating'!A$2:B$5,2,FALSE)</f>
        <v>1</v>
      </c>
      <c r="T86" s="257" t="str">
        <f>VLOOKUP(H86,'Maturity Rating'!A$8:B$11,2,FALSE)</f>
        <v>NA</v>
      </c>
      <c r="U86" s="257" t="str">
        <f>VLOOKUP(I86,'Maturity Rating'!A$14:B$17,2,FALSE)</f>
        <v>NA</v>
      </c>
      <c r="V86" s="257" t="str">
        <f>VLOOKUP(J86,'Maturity Rating'!A$20:B$23,2,FALSE)</f>
        <v>NA</v>
      </c>
      <c r="W86" s="24" t="str">
        <f t="shared" si="17"/>
        <v>1NANANA</v>
      </c>
    </row>
    <row r="87" spans="1:24" ht="29">
      <c r="A87" s="74">
        <v>5.85</v>
      </c>
      <c r="B87" s="378"/>
      <c r="C87" s="365"/>
      <c r="D87" s="257"/>
      <c r="E87" s="132" t="s">
        <v>325</v>
      </c>
      <c r="F87" s="257" t="s">
        <v>89</v>
      </c>
      <c r="G87" s="257" t="s">
        <v>127</v>
      </c>
      <c r="H87" s="55" t="s">
        <v>91</v>
      </c>
      <c r="I87" s="55" t="s">
        <v>91</v>
      </c>
      <c r="J87" s="257" t="s">
        <v>91</v>
      </c>
      <c r="K87" s="271">
        <f t="shared" si="13"/>
        <v>1</v>
      </c>
      <c r="L87" s="273">
        <f>IF(AND(D87="K",K87=1),'Maturity Rating'!$E$8,IF(K87="NA",K87,IF(D87="K",K87*'Maturity Rating'!$E$7,K87)))</f>
        <v>1</v>
      </c>
      <c r="M87" s="373"/>
      <c r="N87" s="374"/>
      <c r="O87" s="342"/>
      <c r="P87" s="21"/>
      <c r="Q87" s="21"/>
      <c r="S87" s="257">
        <f>VLOOKUP(G87,'Maturity Rating'!A$2:B$5,2,FALSE)</f>
        <v>1</v>
      </c>
      <c r="T87" s="257" t="str">
        <f>VLOOKUP(H87,'Maturity Rating'!A$8:B$11,2,FALSE)</f>
        <v>NA</v>
      </c>
      <c r="U87" s="257" t="str">
        <f>VLOOKUP(I87,'Maturity Rating'!A$14:B$17,2,FALSE)</f>
        <v>NA</v>
      </c>
      <c r="V87" s="257" t="str">
        <f>VLOOKUP(J87,'Maturity Rating'!A$20:B$23,2,FALSE)</f>
        <v>NA</v>
      </c>
      <c r="W87" s="24" t="str">
        <f t="shared" si="12"/>
        <v>1NANANA</v>
      </c>
    </row>
    <row r="88" spans="1:24" ht="29">
      <c r="A88" s="74">
        <v>5.86</v>
      </c>
      <c r="B88" s="378"/>
      <c r="C88" s="365"/>
      <c r="D88" s="257"/>
      <c r="E88" s="132" t="s">
        <v>326</v>
      </c>
      <c r="F88" s="257" t="s">
        <v>89</v>
      </c>
      <c r="G88" s="257" t="s">
        <v>127</v>
      </c>
      <c r="H88" s="55" t="s">
        <v>91</v>
      </c>
      <c r="I88" s="55" t="s">
        <v>91</v>
      </c>
      <c r="J88" s="257" t="s">
        <v>91</v>
      </c>
      <c r="K88" s="271">
        <f t="shared" si="13"/>
        <v>1</v>
      </c>
      <c r="L88" s="273">
        <f>IF(AND(D88="K",K88=1),'Maturity Rating'!$E$8,IF(K88="NA",K88,IF(D88="K",K88*'Maturity Rating'!$E$7,K88)))</f>
        <v>1</v>
      </c>
      <c r="M88" s="373"/>
      <c r="N88" s="374"/>
      <c r="O88" s="342"/>
      <c r="P88" s="21"/>
      <c r="Q88" s="21"/>
      <c r="S88" s="257">
        <f>VLOOKUP(G88,'Maturity Rating'!A$2:B$5,2,FALSE)</f>
        <v>1</v>
      </c>
      <c r="T88" s="257" t="str">
        <f>VLOOKUP(H88,'Maturity Rating'!A$8:B$11,2,FALSE)</f>
        <v>NA</v>
      </c>
      <c r="U88" s="257" t="str">
        <f>VLOOKUP(I88,'Maturity Rating'!A$14:B$17,2,FALSE)</f>
        <v>NA</v>
      </c>
      <c r="V88" s="257" t="str">
        <f>VLOOKUP(J88,'Maturity Rating'!A$20:B$23,2,FALSE)</f>
        <v>NA</v>
      </c>
      <c r="W88" s="24" t="str">
        <f t="shared" si="12"/>
        <v>1NANANA</v>
      </c>
    </row>
    <row r="89" spans="1:24" ht="29.5" thickBot="1">
      <c r="A89" s="75">
        <v>5.87</v>
      </c>
      <c r="B89" s="379"/>
      <c r="C89" s="367"/>
      <c r="D89" s="259"/>
      <c r="E89" s="142" t="s">
        <v>327</v>
      </c>
      <c r="F89" s="259" t="s">
        <v>89</v>
      </c>
      <c r="G89" s="257" t="s">
        <v>127</v>
      </c>
      <c r="H89" s="59" t="s">
        <v>91</v>
      </c>
      <c r="I89" s="59" t="s">
        <v>91</v>
      </c>
      <c r="J89" s="259" t="s">
        <v>91</v>
      </c>
      <c r="K89" s="272">
        <f t="shared" si="13"/>
        <v>1</v>
      </c>
      <c r="L89" s="272">
        <f>IF(AND(D89="K",K89=1),'Maturity Rating'!$E$8,IF(K89="NA",K89,IF(D89="K",K89*'Maturity Rating'!$E$7,K89)))</f>
        <v>1</v>
      </c>
      <c r="M89" s="370"/>
      <c r="N89" s="372"/>
      <c r="O89" s="343"/>
      <c r="P89" s="21"/>
      <c r="Q89" s="21"/>
      <c r="S89" s="257">
        <f>VLOOKUP(G89,'Maturity Rating'!A$2:B$5,2,FALSE)</f>
        <v>1</v>
      </c>
      <c r="T89" s="257" t="str">
        <f>VLOOKUP(H89,'Maturity Rating'!A$8:B$11,2,FALSE)</f>
        <v>NA</v>
      </c>
      <c r="U89" s="257" t="str">
        <f>VLOOKUP(I89,'Maturity Rating'!A$14:B$17,2,FALSE)</f>
        <v>NA</v>
      </c>
      <c r="V89" s="257" t="str">
        <f>VLOOKUP(J89,'Maturity Rating'!A$20:B$23,2,FALSE)</f>
        <v>NA</v>
      </c>
      <c r="W89" s="24" t="str">
        <f t="shared" si="12"/>
        <v>1NANANA</v>
      </c>
    </row>
    <row r="90" spans="1:24" ht="29">
      <c r="A90" s="36">
        <v>5.88</v>
      </c>
      <c r="B90" s="355" t="s">
        <v>328</v>
      </c>
      <c r="C90" s="357" t="s">
        <v>329</v>
      </c>
      <c r="D90" s="178"/>
      <c r="E90" s="277" t="s">
        <v>330</v>
      </c>
      <c r="F90" s="256" t="s">
        <v>89</v>
      </c>
      <c r="G90" s="256" t="s">
        <v>118</v>
      </c>
      <c r="H90" s="256" t="s">
        <v>100</v>
      </c>
      <c r="I90" s="256" t="s">
        <v>120</v>
      </c>
      <c r="J90" s="256" t="s">
        <v>129</v>
      </c>
      <c r="K90" s="278">
        <f t="shared" ref="K90" si="18">IF(W90="NANANANA",S90,IF(AND(OR(G90="Formally Documented",G90="Informally Documented"),H90="Not Implemented"),0.5*AVERAGE(S90:V90),AVERAGE(S90:V90)))</f>
        <v>3</v>
      </c>
      <c r="L90" s="278">
        <f>IF(AND(D90="K",K90=1),'Maturity Rating'!$E$8,IF(K90="NA",K90,IF(D90="K",K90*'Maturity Rating'!$E$7,K90)))</f>
        <v>3</v>
      </c>
      <c r="M90" s="338">
        <f>IF(X90="NANANANANANANANANANANA",K90,AVERAGE(L90:L95))</f>
        <v>2.2916666666666665</v>
      </c>
      <c r="N90" s="338">
        <f>IF(M90&lt;1.1,1,IF(M90="NA",M90,(MIN(5,M90/3*5))))</f>
        <v>3.8194444444444442</v>
      </c>
      <c r="O90" s="363" t="str">
        <f>IF(N90="NA",N90,VLOOKUP(Q90,'Maturity Rating'!G4:H8,2,FALSE))</f>
        <v>Defined</v>
      </c>
      <c r="Q90" s="244">
        <f>IF(N90="NA",N90,ROUNDDOWN(N90,0))</f>
        <v>3</v>
      </c>
      <c r="S90" s="257">
        <f>VLOOKUP(G90,'Maturity Rating'!A$2:B$5,2,FALSE)</f>
        <v>3</v>
      </c>
      <c r="T90" s="257">
        <f>VLOOKUP(H90,'Maturity Rating'!A$8:B$11,2,FALSE)</f>
        <v>3</v>
      </c>
      <c r="U90" s="257">
        <f>VLOOKUP(I90,'Maturity Rating'!A$14:B$17,2,FALSE)</f>
        <v>3</v>
      </c>
      <c r="V90" s="257">
        <f>VLOOKUP(J90,'Maturity Rating'!A$20:B$23,2,FALSE)</f>
        <v>3</v>
      </c>
      <c r="W90" s="24" t="str">
        <f t="shared" ref="W90:W95" si="19">CONCATENATE(S90,T90,U90,V90)</f>
        <v>3333</v>
      </c>
      <c r="X90" s="24" t="str">
        <f>CONCATENATE(L90,L91,L92,L93,L94,L95)</f>
        <v>32.753113</v>
      </c>
    </row>
    <row r="91" spans="1:24">
      <c r="A91" s="74">
        <v>5.89</v>
      </c>
      <c r="B91" s="356"/>
      <c r="C91" s="358"/>
      <c r="D91" s="69"/>
      <c r="E91" s="266" t="s">
        <v>331</v>
      </c>
      <c r="F91" s="263" t="s">
        <v>89</v>
      </c>
      <c r="G91" s="263" t="s">
        <v>118</v>
      </c>
      <c r="H91" s="263" t="s">
        <v>100</v>
      </c>
      <c r="I91" s="263" t="s">
        <v>101</v>
      </c>
      <c r="J91" s="263" t="s">
        <v>129</v>
      </c>
      <c r="K91" s="271">
        <f t="shared" ref="K91:K95" si="20">IF(W91="NANANANA",S91,IF(AND(OR(G91="Formally Documented",G91="Informally Documented"),H91="Not Implemented"),0.5*AVERAGE(S91:V91),AVERAGE(S91:V91)))</f>
        <v>2.75</v>
      </c>
      <c r="L91" s="271">
        <f>IF(AND(D91="K",K91=1),'Maturity Rating'!$E$8,IF(K91="NA",K91,IF(D91="K",K91*'Maturity Rating'!$E$7,K91)))</f>
        <v>2.75</v>
      </c>
      <c r="M91" s="339"/>
      <c r="N91" s="339"/>
      <c r="O91" s="361"/>
      <c r="S91" s="257">
        <f>VLOOKUP(G91,'Maturity Rating'!A$2:B$5,2,FALSE)</f>
        <v>3</v>
      </c>
      <c r="T91" s="257">
        <f>VLOOKUP(H91,'Maturity Rating'!A$8:B$11,2,FALSE)</f>
        <v>3</v>
      </c>
      <c r="U91" s="257">
        <f>VLOOKUP(I91,'Maturity Rating'!A$14:B$17,2,FALSE)</f>
        <v>2</v>
      </c>
      <c r="V91" s="257">
        <f>VLOOKUP(J91,'Maturity Rating'!A$20:B$23,2,FALSE)</f>
        <v>3</v>
      </c>
      <c r="W91" s="24" t="str">
        <f t="shared" si="19"/>
        <v>3323</v>
      </c>
    </row>
    <row r="92" spans="1:24">
      <c r="A92" s="74" t="s">
        <v>332</v>
      </c>
      <c r="B92" s="356"/>
      <c r="C92" s="358"/>
      <c r="D92" s="69"/>
      <c r="E92" s="266" t="s">
        <v>333</v>
      </c>
      <c r="F92" s="263" t="s">
        <v>89</v>
      </c>
      <c r="G92" s="263" t="s">
        <v>118</v>
      </c>
      <c r="H92" s="263" t="s">
        <v>100</v>
      </c>
      <c r="I92" s="263" t="s">
        <v>120</v>
      </c>
      <c r="J92" s="263" t="s">
        <v>129</v>
      </c>
      <c r="K92" s="271">
        <f t="shared" si="20"/>
        <v>3</v>
      </c>
      <c r="L92" s="271">
        <f>IF(AND(D92="K",K92=1),'Maturity Rating'!$E$8,IF(K92="NA",K92,IF(D92="K",K92*'Maturity Rating'!$E$7,K92)))</f>
        <v>3</v>
      </c>
      <c r="M92" s="339"/>
      <c r="N92" s="339"/>
      <c r="O92" s="361"/>
      <c r="S92" s="257">
        <f>VLOOKUP(G92,'Maturity Rating'!A$2:B$5,2,FALSE)</f>
        <v>3</v>
      </c>
      <c r="T92" s="257">
        <f>VLOOKUP(H92,'Maturity Rating'!A$8:B$11,2,FALSE)</f>
        <v>3</v>
      </c>
      <c r="U92" s="257">
        <f>VLOOKUP(I92,'Maturity Rating'!A$14:B$17,2,FALSE)</f>
        <v>3</v>
      </c>
      <c r="V92" s="257">
        <f>VLOOKUP(J92,'Maturity Rating'!A$20:B$23,2,FALSE)</f>
        <v>3</v>
      </c>
      <c r="W92" s="24" t="str">
        <f t="shared" si="19"/>
        <v>3333</v>
      </c>
    </row>
    <row r="93" spans="1:24" ht="29">
      <c r="A93" s="74">
        <v>5.91</v>
      </c>
      <c r="B93" s="356"/>
      <c r="C93" s="358"/>
      <c r="D93" s="69"/>
      <c r="E93" s="266" t="s">
        <v>334</v>
      </c>
      <c r="F93" s="263" t="s">
        <v>89</v>
      </c>
      <c r="G93" s="263" t="s">
        <v>127</v>
      </c>
      <c r="H93" s="263" t="s">
        <v>91</v>
      </c>
      <c r="I93" s="263" t="s">
        <v>91</v>
      </c>
      <c r="J93" s="263" t="s">
        <v>91</v>
      </c>
      <c r="K93" s="271">
        <f t="shared" si="20"/>
        <v>1</v>
      </c>
      <c r="L93" s="271">
        <f>IF(AND(D93="K",K93=1),'Maturity Rating'!$E$8,IF(K93="NA",K93,IF(D93="K",K93*'Maturity Rating'!$E$7,K93)))</f>
        <v>1</v>
      </c>
      <c r="M93" s="339"/>
      <c r="N93" s="339"/>
      <c r="O93" s="361"/>
      <c r="S93" s="257">
        <f>VLOOKUP(G93,'Maturity Rating'!A$2:B$5,2,FALSE)</f>
        <v>1</v>
      </c>
      <c r="T93" s="257" t="str">
        <f>VLOOKUP(H93,'Maturity Rating'!A$8:B$11,2,FALSE)</f>
        <v>NA</v>
      </c>
      <c r="U93" s="257" t="str">
        <f>VLOOKUP(I93,'Maturity Rating'!A$14:B$17,2,FALSE)</f>
        <v>NA</v>
      </c>
      <c r="V93" s="257" t="str">
        <f>VLOOKUP(J93,'Maturity Rating'!A$20:B$23,2,FALSE)</f>
        <v>NA</v>
      </c>
      <c r="W93" s="24" t="str">
        <f t="shared" si="19"/>
        <v>1NANANA</v>
      </c>
    </row>
    <row r="94" spans="1:24" ht="29">
      <c r="A94" s="74">
        <v>5.92</v>
      </c>
      <c r="B94" s="356"/>
      <c r="C94" s="358"/>
      <c r="D94" s="69"/>
      <c r="E94" s="266" t="s">
        <v>335</v>
      </c>
      <c r="F94" s="263" t="s">
        <v>89</v>
      </c>
      <c r="G94" s="263" t="s">
        <v>127</v>
      </c>
      <c r="H94" s="263" t="s">
        <v>91</v>
      </c>
      <c r="I94" s="263" t="s">
        <v>91</v>
      </c>
      <c r="J94" s="263" t="s">
        <v>91</v>
      </c>
      <c r="K94" s="271">
        <f t="shared" si="20"/>
        <v>1</v>
      </c>
      <c r="L94" s="271">
        <f>IF(AND(D94="K",K94=1),'Maturity Rating'!$E$8,IF(K94="NA",K94,IF(D94="K",K94*'Maturity Rating'!$E$7,K94)))</f>
        <v>1</v>
      </c>
      <c r="M94" s="339"/>
      <c r="N94" s="339"/>
      <c r="O94" s="361"/>
      <c r="S94" s="257">
        <f>VLOOKUP(G94,'Maturity Rating'!A$2:B$5,2,FALSE)</f>
        <v>1</v>
      </c>
      <c r="T94" s="257" t="str">
        <f>VLOOKUP(H94,'Maturity Rating'!A$8:B$11,2,FALSE)</f>
        <v>NA</v>
      </c>
      <c r="U94" s="257" t="str">
        <f>VLOOKUP(I94,'Maturity Rating'!A$14:B$17,2,FALSE)</f>
        <v>NA</v>
      </c>
      <c r="V94" s="257" t="str">
        <f>VLOOKUP(J94,'Maturity Rating'!A$20:B$23,2,FALSE)</f>
        <v>NA</v>
      </c>
      <c r="W94" s="24" t="str">
        <f t="shared" si="19"/>
        <v>1NANANA</v>
      </c>
    </row>
    <row r="95" spans="1:24" ht="15" thickBot="1">
      <c r="A95" s="75">
        <v>5.93</v>
      </c>
      <c r="B95" s="376"/>
      <c r="C95" s="360"/>
      <c r="D95" s="70"/>
      <c r="E95" s="268" t="s">
        <v>336</v>
      </c>
      <c r="F95" s="265" t="s">
        <v>89</v>
      </c>
      <c r="G95" s="265" t="s">
        <v>118</v>
      </c>
      <c r="H95" s="265" t="s">
        <v>100</v>
      </c>
      <c r="I95" s="265" t="s">
        <v>120</v>
      </c>
      <c r="J95" s="265" t="s">
        <v>129</v>
      </c>
      <c r="K95" s="262">
        <f t="shared" si="20"/>
        <v>3</v>
      </c>
      <c r="L95" s="262">
        <f>IF(AND(D95="K",K95=1),'Maturity Rating'!$E$8,IF(K95="NA",K95,IF(D95="K",K95*'Maturity Rating'!$E$7,K95)))</f>
        <v>3</v>
      </c>
      <c r="M95" s="340"/>
      <c r="N95" s="340"/>
      <c r="O95" s="362"/>
      <c r="S95" s="257">
        <f>VLOOKUP(G95,'Maturity Rating'!A$2:B$5,2,FALSE)</f>
        <v>3</v>
      </c>
      <c r="T95" s="257">
        <f>VLOOKUP(H95,'Maturity Rating'!A$8:B$11,2,FALSE)</f>
        <v>3</v>
      </c>
      <c r="U95" s="257">
        <f>VLOOKUP(I95,'Maturity Rating'!A$14:B$17,2,FALSE)</f>
        <v>3</v>
      </c>
      <c r="V95" s="257">
        <f>VLOOKUP(J95,'Maturity Rating'!A$20:B$23,2,FALSE)</f>
        <v>3</v>
      </c>
      <c r="W95" s="24" t="str">
        <f t="shared" si="19"/>
        <v>3333</v>
      </c>
    </row>
  </sheetData>
  <mergeCells count="56">
    <mergeCell ref="B77:B89"/>
    <mergeCell ref="C77:C89"/>
    <mergeCell ref="M77:M89"/>
    <mergeCell ref="N77:N89"/>
    <mergeCell ref="O77:O89"/>
    <mergeCell ref="B58:B69"/>
    <mergeCell ref="C58:C69"/>
    <mergeCell ref="M58:M69"/>
    <mergeCell ref="N58:N69"/>
    <mergeCell ref="O58:O69"/>
    <mergeCell ref="B70:B76"/>
    <mergeCell ref="C70:C76"/>
    <mergeCell ref="M70:M76"/>
    <mergeCell ref="N70:N76"/>
    <mergeCell ref="O70:O76"/>
    <mergeCell ref="B45:B52"/>
    <mergeCell ref="C45:C52"/>
    <mergeCell ref="M45:M52"/>
    <mergeCell ref="N45:N52"/>
    <mergeCell ref="O45:O52"/>
    <mergeCell ref="B53:B57"/>
    <mergeCell ref="C53:C57"/>
    <mergeCell ref="M53:M57"/>
    <mergeCell ref="N53:N57"/>
    <mergeCell ref="O53:O57"/>
    <mergeCell ref="B26:B35"/>
    <mergeCell ref="C26:C35"/>
    <mergeCell ref="M26:M35"/>
    <mergeCell ref="N26:N35"/>
    <mergeCell ref="O26:O35"/>
    <mergeCell ref="B36:B44"/>
    <mergeCell ref="C36:C44"/>
    <mergeCell ref="M36:M44"/>
    <mergeCell ref="N36:N44"/>
    <mergeCell ref="O36:O44"/>
    <mergeCell ref="B10:B15"/>
    <mergeCell ref="C10:C15"/>
    <mergeCell ref="M10:M15"/>
    <mergeCell ref="N10:N15"/>
    <mergeCell ref="O10:O15"/>
    <mergeCell ref="B16:B25"/>
    <mergeCell ref="C16:C25"/>
    <mergeCell ref="M16:M25"/>
    <mergeCell ref="N16:N25"/>
    <mergeCell ref="O16:O25"/>
    <mergeCell ref="O4:O9"/>
    <mergeCell ref="C1:D1"/>
    <mergeCell ref="B4:B9"/>
    <mergeCell ref="C4:C9"/>
    <mergeCell ref="M4:M9"/>
    <mergeCell ref="N4:N9"/>
    <mergeCell ref="B90:B95"/>
    <mergeCell ref="C90:C95"/>
    <mergeCell ref="M90:M95"/>
    <mergeCell ref="N90:N95"/>
    <mergeCell ref="O90:O95"/>
  </mergeCells>
  <phoneticPr fontId="36" type="noConversion"/>
  <pageMargins left="0.7" right="0.7" top="0.75" bottom="0.75" header="0.3" footer="0.3"/>
  <pageSetup paperSize="9" orientation="portrait" r:id="rId1"/>
  <ignoredErrors>
    <ignoredError sqref="E1:F1 K5:M95 K4:L4" evalError="1"/>
  </ignoredErrors>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800-000000000000}">
          <x14:formula1>
            <xm:f>'Maturity Rating'!$A$20:$A$23</xm:f>
          </x14:formula1>
          <xm:sqref>J4:J95</xm:sqref>
        </x14:dataValidation>
        <x14:dataValidation type="list" allowBlank="1" showInputMessage="1" showErrorMessage="1" xr:uid="{00000000-0002-0000-0800-000001000000}">
          <x14:formula1>
            <xm:f>'Maturity Rating'!$A$2:$A$5</xm:f>
          </x14:formula1>
          <xm:sqref>G4:G95</xm:sqref>
        </x14:dataValidation>
        <x14:dataValidation type="list" allowBlank="1" showInputMessage="1" showErrorMessage="1" xr:uid="{00000000-0002-0000-0800-000002000000}">
          <x14:formula1>
            <xm:f>'Maturity Rating'!$A$8:$A$11</xm:f>
          </x14:formula1>
          <xm:sqref>H4:H95</xm:sqref>
        </x14:dataValidation>
        <x14:dataValidation type="list" allowBlank="1" showInputMessage="1" showErrorMessage="1" xr:uid="{00000000-0002-0000-0800-000003000000}">
          <x14:formula1>
            <xm:f>'Maturity Rating'!$A$14:$A$17</xm:f>
          </x14:formula1>
          <xm:sqref>I4:I95</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2"/>
  </sheetPr>
  <dimension ref="A1:Y28"/>
  <sheetViews>
    <sheetView showGridLines="0" zoomScale="52" zoomScaleNormal="80" workbookViewId="0"/>
  </sheetViews>
  <sheetFormatPr defaultColWidth="9.08984375" defaultRowHeight="14.5"/>
  <cols>
    <col min="1" max="1" width="6.453125" style="22" customWidth="1"/>
    <col min="2" max="2" width="23.08984375" style="24" customWidth="1"/>
    <col min="3" max="3" width="34.90625" style="25" customWidth="1"/>
    <col min="4" max="4" width="25" style="25" customWidth="1"/>
    <col min="5" max="5" width="79.1796875" style="24" customWidth="1"/>
    <col min="6" max="6" width="31.36328125" style="62" customWidth="1"/>
    <col min="7" max="8" width="20.6328125" style="62" customWidth="1"/>
    <col min="9" max="9" width="20.90625" style="62" bestFit="1" customWidth="1"/>
    <col min="10" max="10" width="24.81640625" style="62" customWidth="1"/>
    <col min="11" max="11" width="13.6328125" style="24" bestFit="1" customWidth="1"/>
    <col min="12" max="12" width="26.36328125" style="24" customWidth="1"/>
    <col min="13" max="13" width="18.81640625" style="24" customWidth="1"/>
    <col min="14" max="14" width="20.90625" style="24" customWidth="1"/>
    <col min="15" max="15" width="13.6328125" style="24" customWidth="1"/>
    <col min="16" max="16" width="6.453125" customWidth="1"/>
    <col min="17" max="17" width="2.08984375" hidden="1" customWidth="1"/>
    <col min="18" max="18" width="2.54296875" hidden="1" customWidth="1"/>
    <col min="19" max="19" width="5" style="189" hidden="1" customWidth="1"/>
    <col min="20" max="20" width="6.90625" style="189" hidden="1" customWidth="1"/>
    <col min="21" max="21" width="9" style="189" hidden="1" customWidth="1"/>
    <col min="22" max="22" width="5" style="189" hidden="1" customWidth="1"/>
    <col min="23" max="23" width="6" hidden="1" customWidth="1"/>
    <col min="24" max="24" width="7.08984375" hidden="1" customWidth="1"/>
    <col min="25" max="25" width="10" customWidth="1"/>
    <col min="26" max="16384" width="9.08984375" style="24"/>
  </cols>
  <sheetData>
    <row r="1" spans="1:25" ht="22.5" customHeight="1" thickBot="1">
      <c r="C1" s="353" t="s">
        <v>66</v>
      </c>
      <c r="D1" s="354"/>
      <c r="E1" s="45" t="str">
        <f>IF(F1="NA","Not Applicable",VLOOKUP(T1,'Maturity Rating'!G4:H8,2,FALSE))</f>
        <v>Repeatable</v>
      </c>
      <c r="F1" s="46">
        <f>IF(U1="NANANANA","NA",AVERAGE(N4:N28))</f>
        <v>4.3279671717171713</v>
      </c>
      <c r="G1" s="22"/>
      <c r="I1" s="22"/>
      <c r="S1"/>
      <c r="T1" s="233">
        <f>ROUNDDOWN(F1,0)</f>
        <v>4</v>
      </c>
      <c r="U1" s="98" t="str">
        <f>CONCATENATE(N4,N7,N10,N17)</f>
        <v>553.944444444444443.36742424242424</v>
      </c>
      <c r="V1"/>
    </row>
    <row r="2" spans="1:25" ht="15" thickBot="1"/>
    <row r="3" spans="1:25" s="22" customFormat="1" ht="30.75" customHeight="1" thickBot="1">
      <c r="A3" s="106" t="s">
        <v>2</v>
      </c>
      <c r="B3" s="48" t="s">
        <v>67</v>
      </c>
      <c r="C3" s="48" t="s">
        <v>68</v>
      </c>
      <c r="D3" s="48" t="s">
        <v>69</v>
      </c>
      <c r="E3" s="48" t="s">
        <v>70</v>
      </c>
      <c r="F3" s="48" t="s">
        <v>71</v>
      </c>
      <c r="G3" s="48" t="s">
        <v>72</v>
      </c>
      <c r="H3" s="48" t="s">
        <v>73</v>
      </c>
      <c r="I3" s="48" t="s">
        <v>74</v>
      </c>
      <c r="J3" s="48" t="s">
        <v>75</v>
      </c>
      <c r="K3" s="81" t="s">
        <v>76</v>
      </c>
      <c r="L3" s="48" t="s">
        <v>77</v>
      </c>
      <c r="M3" s="48" t="s">
        <v>78</v>
      </c>
      <c r="N3" s="48" t="s">
        <v>79</v>
      </c>
      <c r="O3" s="101" t="s">
        <v>80</v>
      </c>
      <c r="P3"/>
      <c r="Q3"/>
      <c r="R3"/>
      <c r="S3" s="227" t="s">
        <v>81</v>
      </c>
      <c r="T3" s="227" t="s">
        <v>82</v>
      </c>
      <c r="U3" s="227" t="s">
        <v>83</v>
      </c>
      <c r="V3" s="227" t="s">
        <v>84</v>
      </c>
      <c r="W3" s="228"/>
      <c r="X3" s="228"/>
      <c r="Y3" s="228"/>
    </row>
    <row r="4" spans="1:25" ht="30" customHeight="1" thickBot="1">
      <c r="A4" s="36">
        <v>9.1</v>
      </c>
      <c r="B4" s="359" t="s">
        <v>337</v>
      </c>
      <c r="C4" s="368" t="s">
        <v>338</v>
      </c>
      <c r="D4" s="256" t="s">
        <v>87</v>
      </c>
      <c r="E4" s="243" t="s">
        <v>339</v>
      </c>
      <c r="F4" s="256" t="s">
        <v>89</v>
      </c>
      <c r="G4" s="256" t="s">
        <v>118</v>
      </c>
      <c r="H4" s="256" t="s">
        <v>100</v>
      </c>
      <c r="I4" s="256" t="s">
        <v>120</v>
      </c>
      <c r="J4" s="256" t="s">
        <v>129</v>
      </c>
      <c r="K4" s="271">
        <f>IF(W4="NANANANA",S4,IF(AND(OR(G4="Formally Documented",G4="Informally Documented"),H4="Not Implemented"),0.5*AVERAGE(S4:V4),AVERAGE(S4:V4)))</f>
        <v>3</v>
      </c>
      <c r="L4" s="278">
        <f>IF(AND(D4="K",K4=1),'Maturity Rating'!$E$8,IF(K4="NA",K4,IF(D4="K",K4*'Maturity Rating'!$E$7,K4)))</f>
        <v>3.5999999999999996</v>
      </c>
      <c r="M4" s="338">
        <f>IF(X4="NANANA",K4,AVERAGE(L4:L6))</f>
        <v>3.1999999999999997</v>
      </c>
      <c r="N4" s="338">
        <f>IF(M4&lt;1.1,1,IF(M4="NA",M4,(MIN(5,M4/3*5))))</f>
        <v>5</v>
      </c>
      <c r="O4" s="363" t="str">
        <f>IF(N4="NA",N4,VLOOKUP(Q4,'Maturity Rating'!G4:H8,2,FALSE))</f>
        <v>Adaptive</v>
      </c>
      <c r="P4" s="27"/>
      <c r="Q4" s="229">
        <f>IF(N4="NA",N4,ROUNDDOWN(N4,0))</f>
        <v>5</v>
      </c>
      <c r="S4" s="114">
        <f>VLOOKUP(G4,'Maturity Rating'!A$2:B$5,2,FALSE)</f>
        <v>3</v>
      </c>
      <c r="T4" s="114">
        <f>VLOOKUP(H4,'Maturity Rating'!A$8:B$11,2,FALSE)</f>
        <v>3</v>
      </c>
      <c r="U4" s="114">
        <f>VLOOKUP(I4,'Maturity Rating'!A$14:B$17,2,FALSE)</f>
        <v>3</v>
      </c>
      <c r="V4" s="114">
        <f>VLOOKUP(J4,'Maturity Rating'!A$20:B$23,2,FALSE)</f>
        <v>3</v>
      </c>
      <c r="W4" t="str">
        <f>CONCATENATE(S4,T4,U4,V4)</f>
        <v>3333</v>
      </c>
      <c r="X4" t="str">
        <f>CONCATENATE(L4,L5,L6,)</f>
        <v>3.633</v>
      </c>
    </row>
    <row r="5" spans="1:25" ht="37.5" customHeight="1" thickBot="1">
      <c r="A5" s="74">
        <v>9.1999999999999993</v>
      </c>
      <c r="B5" s="345"/>
      <c r="C5" s="365"/>
      <c r="D5" s="257"/>
      <c r="E5" s="266" t="s">
        <v>93</v>
      </c>
      <c r="F5" s="257" t="s">
        <v>89</v>
      </c>
      <c r="G5" s="256" t="s">
        <v>118</v>
      </c>
      <c r="H5" s="256" t="s">
        <v>100</v>
      </c>
      <c r="I5" s="256" t="s">
        <v>120</v>
      </c>
      <c r="J5" s="256" t="s">
        <v>129</v>
      </c>
      <c r="K5" s="271">
        <f t="shared" ref="K5:K28" si="0">IF(W5="NANANANA",S5,IF(AND(OR(G5="Formally Documented",G5="Informally Documented"),H5="Not Implemented"),0.5*AVERAGE(S5:V5),AVERAGE(S5:V5)))</f>
        <v>3</v>
      </c>
      <c r="L5" s="273">
        <f>IF(AND(D5="K",K5=1),'Maturity Rating'!$E$8,IF(K5="NA",K5,IF(D5="K",K5*'Maturity Rating'!$E$7,K5)))</f>
        <v>3</v>
      </c>
      <c r="M5" s="339"/>
      <c r="N5" s="339"/>
      <c r="O5" s="361"/>
      <c r="P5" s="27"/>
      <c r="S5" s="114">
        <f>VLOOKUP(G5,'Maturity Rating'!A$2:B$5,2,FALSE)</f>
        <v>3</v>
      </c>
      <c r="T5" s="114">
        <f>VLOOKUP(H5,'Maturity Rating'!A$8:B$11,2,FALSE)</f>
        <v>3</v>
      </c>
      <c r="U5" s="114">
        <f>VLOOKUP(I5,'Maturity Rating'!A$14:B$17,2,FALSE)</f>
        <v>3</v>
      </c>
      <c r="V5" s="114">
        <f>VLOOKUP(J5,'Maturity Rating'!A$20:B$23,2,FALSE)</f>
        <v>3</v>
      </c>
      <c r="W5" t="str">
        <f t="shared" ref="W5:W28" si="1">CONCATENATE(S5,T5,U5,V5)</f>
        <v>3333</v>
      </c>
    </row>
    <row r="6" spans="1:25" ht="40" customHeight="1" thickBot="1">
      <c r="A6" s="75">
        <v>9.3000000000000007</v>
      </c>
      <c r="B6" s="347"/>
      <c r="C6" s="367"/>
      <c r="D6" s="259"/>
      <c r="E6" s="268" t="s">
        <v>94</v>
      </c>
      <c r="F6" s="259" t="s">
        <v>89</v>
      </c>
      <c r="G6" s="256" t="s">
        <v>118</v>
      </c>
      <c r="H6" s="256" t="s">
        <v>100</v>
      </c>
      <c r="I6" s="256" t="s">
        <v>120</v>
      </c>
      <c r="J6" s="256" t="s">
        <v>129</v>
      </c>
      <c r="K6" s="272">
        <f t="shared" si="0"/>
        <v>3</v>
      </c>
      <c r="L6" s="272">
        <f>IF(AND(D6="K",K6=1),'Maturity Rating'!$E$8,IF(K6="NA",K6,IF(D6="K",K6*'Maturity Rating'!$E$7,K6)))</f>
        <v>3</v>
      </c>
      <c r="M6" s="340"/>
      <c r="N6" s="340"/>
      <c r="O6" s="362"/>
      <c r="P6" s="27"/>
      <c r="Q6" s="27"/>
      <c r="S6" s="114">
        <f>VLOOKUP(G6,'Maturity Rating'!A$2:B$5,2,FALSE)</f>
        <v>3</v>
      </c>
      <c r="T6" s="114">
        <f>VLOOKUP(H6,'Maturity Rating'!A$8:B$11,2,FALSE)</f>
        <v>3</v>
      </c>
      <c r="U6" s="114">
        <f>VLOOKUP(I6,'Maturity Rating'!A$14:B$17,2,FALSE)</f>
        <v>3</v>
      </c>
      <c r="V6" s="114">
        <f>VLOOKUP(J6,'Maturity Rating'!A$20:B$23,2,FALSE)</f>
        <v>3</v>
      </c>
      <c r="W6" t="str">
        <f t="shared" si="1"/>
        <v>3333</v>
      </c>
    </row>
    <row r="7" spans="1:25" ht="32.5" customHeight="1" thickBot="1">
      <c r="A7" s="74">
        <v>9.4</v>
      </c>
      <c r="B7" s="345" t="s">
        <v>340</v>
      </c>
      <c r="C7" s="365" t="s">
        <v>341</v>
      </c>
      <c r="D7" s="257"/>
      <c r="E7" s="266" t="s">
        <v>342</v>
      </c>
      <c r="F7" s="257" t="s">
        <v>105</v>
      </c>
      <c r="G7" s="256" t="s">
        <v>118</v>
      </c>
      <c r="H7" s="256" t="s">
        <v>100</v>
      </c>
      <c r="I7" s="256" t="s">
        <v>120</v>
      </c>
      <c r="J7" s="256" t="s">
        <v>129</v>
      </c>
      <c r="K7" s="271">
        <f t="shared" si="0"/>
        <v>3</v>
      </c>
      <c r="L7" s="273">
        <f>IF(AND(D7="K",K7=1),'Maturity Rating'!$E$8,IF(K7="NA",K7,IF(D7="K",K7*'Maturity Rating'!$E$7,K7)))</f>
        <v>3</v>
      </c>
      <c r="M7" s="338">
        <f>IF(X7="NANANA",K7,AVERAGE(L7:L9))</f>
        <v>3</v>
      </c>
      <c r="N7" s="338">
        <f>IF(M7&lt;1.1,1,IF(M7="NA",M7,(MIN(5,M7/3*5))))</f>
        <v>5</v>
      </c>
      <c r="O7" s="363" t="str">
        <f>IF(N7="NA",N7,VLOOKUP(Q7,'Maturity Rating'!G4:H8,2,FALSE))</f>
        <v>Adaptive</v>
      </c>
      <c r="P7" s="27"/>
      <c r="Q7" s="229">
        <f>IF(N7="NA",N7,ROUNDDOWN(N7,0))</f>
        <v>5</v>
      </c>
      <c r="S7" s="114">
        <f>VLOOKUP(G7,'Maturity Rating'!A$2:B$5,2,FALSE)</f>
        <v>3</v>
      </c>
      <c r="T7" s="114">
        <f>VLOOKUP(H7,'Maturity Rating'!A$8:B$11,2,FALSE)</f>
        <v>3</v>
      </c>
      <c r="U7" s="114">
        <f>VLOOKUP(I7,'Maturity Rating'!A$14:B$17,2,FALSE)</f>
        <v>3</v>
      </c>
      <c r="V7" s="114">
        <f>VLOOKUP(J7,'Maturity Rating'!A$20:B$23,2,FALSE)</f>
        <v>3</v>
      </c>
      <c r="W7" t="str">
        <f t="shared" si="1"/>
        <v>3333</v>
      </c>
      <c r="X7" t="str">
        <f>CONCATENATE(L7,L8,L9,)</f>
        <v>3NANA</v>
      </c>
    </row>
    <row r="8" spans="1:25" ht="29.5" thickBot="1">
      <c r="A8" s="74">
        <v>9.5</v>
      </c>
      <c r="B8" s="345"/>
      <c r="C8" s="365"/>
      <c r="D8" s="257"/>
      <c r="E8" s="266" t="s">
        <v>343</v>
      </c>
      <c r="F8" s="257" t="s">
        <v>105</v>
      </c>
      <c r="G8" s="256" t="s">
        <v>91</v>
      </c>
      <c r="H8" s="256" t="s">
        <v>91</v>
      </c>
      <c r="I8" s="256" t="s">
        <v>91</v>
      </c>
      <c r="J8" s="256" t="s">
        <v>91</v>
      </c>
      <c r="K8" s="271" t="str">
        <f t="shared" si="0"/>
        <v>NA</v>
      </c>
      <c r="L8" s="273" t="str">
        <f>IF(AND(D8="K",K8=1),'Maturity Rating'!$E$8,IF(K8="NA",K8,IF(D8="K",K8*'Maturity Rating'!$E$7,K8)))</f>
        <v>NA</v>
      </c>
      <c r="M8" s="339"/>
      <c r="N8" s="339"/>
      <c r="O8" s="361"/>
      <c r="P8" s="27"/>
      <c r="Q8" s="27"/>
      <c r="S8" s="114" t="str">
        <f>VLOOKUP(G8,'Maturity Rating'!A$2:B$5,2,FALSE)</f>
        <v>NA</v>
      </c>
      <c r="T8" s="114" t="str">
        <f>VLOOKUP(H8,'Maturity Rating'!A$8:B$11,2,FALSE)</f>
        <v>NA</v>
      </c>
      <c r="U8" s="114" t="str">
        <f>VLOOKUP(I8,'Maturity Rating'!A$14:B$17,2,FALSE)</f>
        <v>NA</v>
      </c>
      <c r="V8" s="114" t="str">
        <f>VLOOKUP(J8,'Maturity Rating'!A$20:B$23,2,FALSE)</f>
        <v>NA</v>
      </c>
      <c r="W8" t="str">
        <f t="shared" si="1"/>
        <v>NANANANA</v>
      </c>
    </row>
    <row r="9" spans="1:25" ht="29.5" thickBot="1">
      <c r="A9" s="75">
        <v>9.6</v>
      </c>
      <c r="B9" s="347"/>
      <c r="C9" s="367"/>
      <c r="D9" s="259"/>
      <c r="E9" s="268" t="s">
        <v>344</v>
      </c>
      <c r="F9" s="259" t="s">
        <v>105</v>
      </c>
      <c r="G9" s="256" t="s">
        <v>91</v>
      </c>
      <c r="H9" s="256" t="s">
        <v>91</v>
      </c>
      <c r="I9" s="256" t="s">
        <v>91</v>
      </c>
      <c r="J9" s="256" t="s">
        <v>91</v>
      </c>
      <c r="K9" s="272" t="str">
        <f t="shared" si="0"/>
        <v>NA</v>
      </c>
      <c r="L9" s="272" t="str">
        <f>IF(AND(D9="K",K9=1),'Maturity Rating'!$E$8,IF(K9="NA",K9,IF(D9="K",K9*'Maturity Rating'!$E$7,K9)))</f>
        <v>NA</v>
      </c>
      <c r="M9" s="340"/>
      <c r="N9" s="340"/>
      <c r="O9" s="362"/>
      <c r="P9" s="27"/>
      <c r="Q9" s="27"/>
      <c r="S9" s="114" t="str">
        <f>VLOOKUP(G9,'Maturity Rating'!A$2:B$5,2,FALSE)</f>
        <v>NA</v>
      </c>
      <c r="T9" s="114" t="str">
        <f>VLOOKUP(H9,'Maturity Rating'!A$8:B$11,2,FALSE)</f>
        <v>NA</v>
      </c>
      <c r="U9" s="114" t="str">
        <f>VLOOKUP(I9,'Maturity Rating'!A$14:B$17,2,FALSE)</f>
        <v>NA</v>
      </c>
      <c r="V9" s="114" t="str">
        <f>VLOOKUP(J9,'Maturity Rating'!A$20:B$23,2,FALSE)</f>
        <v>NA</v>
      </c>
      <c r="W9" t="str">
        <f t="shared" si="1"/>
        <v>NANANANA</v>
      </c>
    </row>
    <row r="10" spans="1:25" ht="30" customHeight="1" thickBot="1">
      <c r="A10" s="36">
        <v>9.6999999999999993</v>
      </c>
      <c r="B10" s="359" t="s">
        <v>345</v>
      </c>
      <c r="C10" s="357" t="s">
        <v>346</v>
      </c>
      <c r="D10" s="256"/>
      <c r="E10" s="277" t="s">
        <v>347</v>
      </c>
      <c r="F10" s="256" t="s">
        <v>89</v>
      </c>
      <c r="G10" s="256" t="s">
        <v>90</v>
      </c>
      <c r="H10" s="256" t="s">
        <v>125</v>
      </c>
      <c r="I10" s="256" t="s">
        <v>101</v>
      </c>
      <c r="J10" s="256" t="s">
        <v>464</v>
      </c>
      <c r="K10" s="271">
        <f t="shared" si="0"/>
        <v>2</v>
      </c>
      <c r="L10" s="278">
        <f>IF(AND(D10="K",K10=1),'Maturity Rating'!$E$8,IF(K10="NA",K10,IF(D10="K",K10*'Maturity Rating'!$E$7,K10)))</f>
        <v>2</v>
      </c>
      <c r="M10" s="338">
        <f>IF(X10="NANANANANANANA",K10,AVERAGE(L10:L16))</f>
        <v>2.3666666666666667</v>
      </c>
      <c r="N10" s="338">
        <f>IF(M10&lt;1.1,1,IF(M10="NA",M10,(MIN(5,M10/3*5))))</f>
        <v>3.9444444444444442</v>
      </c>
      <c r="O10" s="363" t="str">
        <f>IF(N10="NA",N10,VLOOKUP(Q10,'Maturity Rating'!G4:H8,2,FALSE))</f>
        <v>Defined</v>
      </c>
      <c r="P10" s="27"/>
      <c r="Q10" s="27">
        <f>IF(N10="NA",N10,ROUNDDOWN(N10,0))</f>
        <v>3</v>
      </c>
      <c r="S10" s="114">
        <f>VLOOKUP(G10,'Maturity Rating'!A$2:B$5,2,FALSE)</f>
        <v>2</v>
      </c>
      <c r="T10" s="114">
        <f>VLOOKUP(H10,'Maturity Rating'!A$8:B$11,2,FALSE)</f>
        <v>2</v>
      </c>
      <c r="U10" s="114">
        <f>VLOOKUP(I10,'Maturity Rating'!A$14:B$17,2,FALSE)</f>
        <v>2</v>
      </c>
      <c r="V10" s="114">
        <f>VLOOKUP(J10,'Maturity Rating'!A$20:B$23,2,FALSE)</f>
        <v>2</v>
      </c>
      <c r="W10" t="str">
        <f t="shared" si="1"/>
        <v>2222</v>
      </c>
      <c r="X10" t="str">
        <f>CONCATENATE(L10,L11,L12,L13,L14,L15,L16)</f>
        <v>232.43NA30.8</v>
      </c>
    </row>
    <row r="11" spans="1:25" ht="32.25" customHeight="1" thickBot="1">
      <c r="A11" s="74">
        <v>9.8000000000000007</v>
      </c>
      <c r="B11" s="345"/>
      <c r="C11" s="358"/>
      <c r="D11" s="257"/>
      <c r="E11" s="266" t="s">
        <v>348</v>
      </c>
      <c r="F11" s="257" t="s">
        <v>89</v>
      </c>
      <c r="G11" s="256" t="s">
        <v>118</v>
      </c>
      <c r="H11" s="256" t="s">
        <v>100</v>
      </c>
      <c r="I11" s="256" t="s">
        <v>120</v>
      </c>
      <c r="J11" s="256" t="s">
        <v>129</v>
      </c>
      <c r="K11" s="271">
        <f t="shared" si="0"/>
        <v>3</v>
      </c>
      <c r="L11" s="273">
        <f>IF(AND(D11="K",K11=1),'Maturity Rating'!$E$8,IF(K11="NA",K11,IF(D11="K",K11*'Maturity Rating'!$E$7,K11)))</f>
        <v>3</v>
      </c>
      <c r="M11" s="339"/>
      <c r="N11" s="339"/>
      <c r="O11" s="361"/>
      <c r="P11" s="27"/>
      <c r="Q11" s="27"/>
      <c r="S11" s="114">
        <f>VLOOKUP(G11,'Maturity Rating'!A$2:B$5,2,FALSE)</f>
        <v>3</v>
      </c>
      <c r="T11" s="114">
        <f>VLOOKUP(H11,'Maturity Rating'!A$8:B$11,2,FALSE)</f>
        <v>3</v>
      </c>
      <c r="U11" s="114">
        <f>VLOOKUP(I11,'Maturity Rating'!A$14:B$17,2,FALSE)</f>
        <v>3</v>
      </c>
      <c r="V11" s="114">
        <f>VLOOKUP(J11,'Maturity Rating'!A$20:B$23,2,FALSE)</f>
        <v>3</v>
      </c>
      <c r="W11" t="str">
        <f t="shared" si="1"/>
        <v>3333</v>
      </c>
    </row>
    <row r="12" spans="1:25" ht="37.5" customHeight="1" thickBot="1">
      <c r="A12" s="74">
        <v>9.9</v>
      </c>
      <c r="B12" s="345"/>
      <c r="C12" s="358"/>
      <c r="D12" s="257" t="s">
        <v>87</v>
      </c>
      <c r="E12" s="52" t="s">
        <v>349</v>
      </c>
      <c r="F12" s="257" t="s">
        <v>89</v>
      </c>
      <c r="G12" s="256" t="s">
        <v>90</v>
      </c>
      <c r="H12" s="256" t="s">
        <v>125</v>
      </c>
      <c r="I12" s="256" t="s">
        <v>101</v>
      </c>
      <c r="J12" s="256" t="s">
        <v>464</v>
      </c>
      <c r="K12" s="271">
        <f t="shared" si="0"/>
        <v>2</v>
      </c>
      <c r="L12" s="273">
        <f>IF(AND(D12="K",K12=1),'Maturity Rating'!$E$8,IF(K12="NA",K12,IF(D12="K",K12*'Maturity Rating'!$E$7,K12)))</f>
        <v>2.4</v>
      </c>
      <c r="M12" s="339"/>
      <c r="N12" s="339"/>
      <c r="O12" s="361"/>
      <c r="P12" s="27"/>
      <c r="Q12" s="27"/>
      <c r="S12" s="114">
        <f>VLOOKUP(G12,'Maturity Rating'!A$2:B$5,2,FALSE)</f>
        <v>2</v>
      </c>
      <c r="T12" s="114">
        <f>VLOOKUP(H12,'Maturity Rating'!A$8:B$11,2,FALSE)</f>
        <v>2</v>
      </c>
      <c r="U12" s="114">
        <f>VLOOKUP(I12,'Maturity Rating'!A$14:B$17,2,FALSE)</f>
        <v>2</v>
      </c>
      <c r="V12" s="114">
        <f>VLOOKUP(J12,'Maturity Rating'!A$20:B$23,2,FALSE)</f>
        <v>2</v>
      </c>
      <c r="W12" t="str">
        <f t="shared" si="1"/>
        <v>2222</v>
      </c>
    </row>
    <row r="13" spans="1:25" ht="31.5" customHeight="1" thickBot="1">
      <c r="A13" s="74" t="s">
        <v>350</v>
      </c>
      <c r="B13" s="345"/>
      <c r="C13" s="358"/>
      <c r="D13" s="257"/>
      <c r="E13" s="266" t="s">
        <v>351</v>
      </c>
      <c r="F13" s="257" t="s">
        <v>89</v>
      </c>
      <c r="G13" s="256" t="s">
        <v>118</v>
      </c>
      <c r="H13" s="256" t="s">
        <v>100</v>
      </c>
      <c r="I13" s="256" t="s">
        <v>120</v>
      </c>
      <c r="J13" s="256" t="s">
        <v>129</v>
      </c>
      <c r="K13" s="271">
        <f t="shared" si="0"/>
        <v>3</v>
      </c>
      <c r="L13" s="273">
        <f>IF(AND(D13="K",K13=1),'Maturity Rating'!$E$8,IF(K13="NA",K13,IF(D13="K",K13*'Maturity Rating'!$E$7,K13)))</f>
        <v>3</v>
      </c>
      <c r="M13" s="339"/>
      <c r="N13" s="339"/>
      <c r="O13" s="361"/>
      <c r="P13" s="27"/>
      <c r="Q13" s="27"/>
      <c r="S13" s="114">
        <f>VLOOKUP(G13,'Maturity Rating'!A$2:B$5,2,FALSE)</f>
        <v>3</v>
      </c>
      <c r="T13" s="114">
        <f>VLOOKUP(H13,'Maturity Rating'!A$8:B$11,2,FALSE)</f>
        <v>3</v>
      </c>
      <c r="U13" s="114">
        <f>VLOOKUP(I13,'Maturity Rating'!A$14:B$17,2,FALSE)</f>
        <v>3</v>
      </c>
      <c r="V13" s="114">
        <f>VLOOKUP(J13,'Maturity Rating'!A$20:B$23,2,FALSE)</f>
        <v>3</v>
      </c>
      <c r="W13" t="str">
        <f t="shared" si="1"/>
        <v>3333</v>
      </c>
    </row>
    <row r="14" spans="1:25" ht="30" customHeight="1" thickBot="1">
      <c r="A14" s="74">
        <v>9.11</v>
      </c>
      <c r="B14" s="345"/>
      <c r="C14" s="358"/>
      <c r="D14" s="257" t="s">
        <v>87</v>
      </c>
      <c r="E14" s="52" t="s">
        <v>352</v>
      </c>
      <c r="F14" s="257" t="s">
        <v>89</v>
      </c>
      <c r="G14" s="256" t="s">
        <v>91</v>
      </c>
      <c r="H14" s="256" t="s">
        <v>91</v>
      </c>
      <c r="I14" s="256" t="s">
        <v>91</v>
      </c>
      <c r="J14" s="256" t="s">
        <v>91</v>
      </c>
      <c r="K14" s="271" t="str">
        <f t="shared" si="0"/>
        <v>NA</v>
      </c>
      <c r="L14" s="273" t="str">
        <f>IF(AND(D14="K",K14=1),'Maturity Rating'!$E$8,IF(K14="NA",K14,IF(D14="K",K14*'Maturity Rating'!$E$7,K14)))</f>
        <v>NA</v>
      </c>
      <c r="M14" s="339"/>
      <c r="N14" s="339"/>
      <c r="O14" s="361"/>
      <c r="P14" s="27"/>
      <c r="Q14" s="27"/>
      <c r="S14" s="114" t="str">
        <f>VLOOKUP(G14,'Maturity Rating'!A$2:B$5,2,FALSE)</f>
        <v>NA</v>
      </c>
      <c r="T14" s="114" t="str">
        <f>VLOOKUP(H14,'Maturity Rating'!A$8:B$11,2,FALSE)</f>
        <v>NA</v>
      </c>
      <c r="U14" s="114" t="str">
        <f>VLOOKUP(I14,'Maturity Rating'!A$14:B$17,2,FALSE)</f>
        <v>NA</v>
      </c>
      <c r="V14" s="114" t="str">
        <f>VLOOKUP(J14,'Maturity Rating'!A$20:B$23,2,FALSE)</f>
        <v>NA</v>
      </c>
      <c r="W14" t="str">
        <f t="shared" si="1"/>
        <v>NANANANA</v>
      </c>
    </row>
    <row r="15" spans="1:25" ht="32.5" customHeight="1" thickBot="1">
      <c r="A15" s="74">
        <v>9.1199999999999992</v>
      </c>
      <c r="B15" s="345"/>
      <c r="C15" s="358"/>
      <c r="D15" s="257"/>
      <c r="E15" s="266" t="s">
        <v>353</v>
      </c>
      <c r="F15" s="257" t="s">
        <v>89</v>
      </c>
      <c r="G15" s="256" t="s">
        <v>118</v>
      </c>
      <c r="H15" s="256" t="s">
        <v>100</v>
      </c>
      <c r="I15" s="256" t="s">
        <v>120</v>
      </c>
      <c r="J15" s="256" t="s">
        <v>129</v>
      </c>
      <c r="K15" s="271">
        <f t="shared" si="0"/>
        <v>3</v>
      </c>
      <c r="L15" s="273">
        <f>IF(AND(D15="K",K15=1),'Maturity Rating'!$E$8,IF(K15="NA",K15,IF(D15="K",K15*'Maturity Rating'!$E$7,K15)))</f>
        <v>3</v>
      </c>
      <c r="M15" s="339"/>
      <c r="N15" s="339"/>
      <c r="O15" s="361"/>
      <c r="P15" s="27"/>
      <c r="Q15" s="27"/>
      <c r="S15" s="114">
        <f>VLOOKUP(G15,'Maturity Rating'!A$2:B$5,2,FALSE)</f>
        <v>3</v>
      </c>
      <c r="T15" s="114">
        <f>VLOOKUP(H15,'Maturity Rating'!A$8:B$11,2,FALSE)</f>
        <v>3</v>
      </c>
      <c r="U15" s="114">
        <f>VLOOKUP(I15,'Maturity Rating'!A$14:B$17,2,FALSE)</f>
        <v>3</v>
      </c>
      <c r="V15" s="114">
        <f>VLOOKUP(J15,'Maturity Rating'!A$20:B$23,2,FALSE)</f>
        <v>3</v>
      </c>
      <c r="W15" t="str">
        <f t="shared" si="1"/>
        <v>3333</v>
      </c>
    </row>
    <row r="16" spans="1:25" ht="29.5" thickBot="1">
      <c r="A16" s="75">
        <v>9.1300000000000008</v>
      </c>
      <c r="B16" s="347"/>
      <c r="C16" s="360"/>
      <c r="D16" s="259" t="s">
        <v>87</v>
      </c>
      <c r="E16" s="190" t="s">
        <v>354</v>
      </c>
      <c r="F16" s="259" t="s">
        <v>89</v>
      </c>
      <c r="G16" s="256" t="s">
        <v>127</v>
      </c>
      <c r="H16" s="256" t="s">
        <v>95</v>
      </c>
      <c r="I16" s="256" t="s">
        <v>91</v>
      </c>
      <c r="J16" s="256" t="s">
        <v>102</v>
      </c>
      <c r="K16" s="272">
        <f t="shared" si="0"/>
        <v>1</v>
      </c>
      <c r="L16" s="272">
        <f>IF(AND(D16="K",K16=1),'Maturity Rating'!$E$8,IF(K16="NA",K16,IF(D16="K",K16*'Maturity Rating'!$E$7,K16)))</f>
        <v>0.8</v>
      </c>
      <c r="M16" s="340"/>
      <c r="N16" s="340"/>
      <c r="O16" s="362"/>
      <c r="P16" s="27"/>
      <c r="Q16" s="27"/>
      <c r="S16" s="114">
        <f>VLOOKUP(G16,'Maturity Rating'!A$2:B$5,2,FALSE)</f>
        <v>1</v>
      </c>
      <c r="T16" s="114">
        <f>VLOOKUP(H16,'Maturity Rating'!A$8:B$11,2,FALSE)</f>
        <v>1</v>
      </c>
      <c r="U16" s="114" t="str">
        <f>VLOOKUP(I16,'Maturity Rating'!A$14:B$17,2,FALSE)</f>
        <v>NA</v>
      </c>
      <c r="V16" s="114">
        <f>VLOOKUP(J16,'Maturity Rating'!A$20:B$23,2,FALSE)</f>
        <v>1</v>
      </c>
      <c r="W16" t="str">
        <f t="shared" si="1"/>
        <v>11NA1</v>
      </c>
    </row>
    <row r="17" spans="1:24" ht="30" customHeight="1" thickBot="1">
      <c r="A17" s="36">
        <v>9.14</v>
      </c>
      <c r="B17" s="359" t="s">
        <v>355</v>
      </c>
      <c r="C17" s="368" t="s">
        <v>356</v>
      </c>
      <c r="D17" s="256"/>
      <c r="E17" s="277" t="s">
        <v>357</v>
      </c>
      <c r="F17" s="256" t="s">
        <v>89</v>
      </c>
      <c r="G17" s="256" t="s">
        <v>118</v>
      </c>
      <c r="H17" s="256" t="s">
        <v>100</v>
      </c>
      <c r="I17" s="256" t="s">
        <v>120</v>
      </c>
      <c r="J17" s="256" t="s">
        <v>129</v>
      </c>
      <c r="K17" s="271">
        <f t="shared" si="0"/>
        <v>3</v>
      </c>
      <c r="L17" s="278">
        <f>IF(AND(D17="K",K17=1),'Maturity Rating'!$E$8,IF(K17="NA",K17,IF(D17="K",K17*'Maturity Rating'!$E$7,K17)))</f>
        <v>3</v>
      </c>
      <c r="M17" s="338">
        <f>IF(X17="NANANANANANANANANANANANA",K17,AVERAGE(L17:L28))</f>
        <v>2.0204545454545455</v>
      </c>
      <c r="N17" s="338">
        <f>IF(M17&lt;1.1,1,IF(M17="NA",M17,(MIN(5,M17/3*5))))</f>
        <v>3.3674242424242422</v>
      </c>
      <c r="O17" s="363" t="str">
        <f>IF(N17="NA",N17,VLOOKUP(Q17,'Maturity Rating'!G4:H8,2,FALSE))</f>
        <v>Defined</v>
      </c>
      <c r="P17" s="27"/>
      <c r="Q17" s="27">
        <f>IF(N17="NA",N17,ROUNDDOWN(N17,0))</f>
        <v>3</v>
      </c>
      <c r="S17" s="114">
        <f>VLOOKUP(G17,'Maturity Rating'!A$2:B$5,2,FALSE)</f>
        <v>3</v>
      </c>
      <c r="T17" s="114">
        <f>VLOOKUP(H17,'Maturity Rating'!A$8:B$11,2,FALSE)</f>
        <v>3</v>
      </c>
      <c r="U17" s="114">
        <f>VLOOKUP(I17,'Maturity Rating'!A$14:B$17,2,FALSE)</f>
        <v>3</v>
      </c>
      <c r="V17" s="114">
        <f>VLOOKUP(J17,'Maturity Rating'!A$20:B$23,2,FALSE)</f>
        <v>3</v>
      </c>
      <c r="W17" t="str">
        <f t="shared" si="1"/>
        <v>3333</v>
      </c>
      <c r="X17" t="str">
        <f>CONCATENATE(L17,L18,L19,L20,L21,L22,L23,L24,L25,L26,L27,L28)</f>
        <v>33NA22.430.6250.83112.4</v>
      </c>
    </row>
    <row r="18" spans="1:24" ht="29.5" customHeight="1" thickBot="1">
      <c r="A18" s="74">
        <v>9.15</v>
      </c>
      <c r="B18" s="345"/>
      <c r="C18" s="365"/>
      <c r="D18" s="257"/>
      <c r="E18" s="266" t="s">
        <v>358</v>
      </c>
      <c r="F18" s="257" t="s">
        <v>89</v>
      </c>
      <c r="G18" s="256" t="s">
        <v>118</v>
      </c>
      <c r="H18" s="256" t="s">
        <v>100</v>
      </c>
      <c r="I18" s="256" t="s">
        <v>120</v>
      </c>
      <c r="J18" s="256" t="s">
        <v>129</v>
      </c>
      <c r="K18" s="271">
        <f t="shared" si="0"/>
        <v>3</v>
      </c>
      <c r="L18" s="273">
        <f>IF(AND(D18="K",K18=1),'Maturity Rating'!$E$8,IF(K18="NA",K18,IF(D18="K",K18*'Maturity Rating'!$E$7,K18)))</f>
        <v>3</v>
      </c>
      <c r="M18" s="339"/>
      <c r="N18" s="339"/>
      <c r="O18" s="361"/>
      <c r="P18" s="27"/>
      <c r="Q18" s="27"/>
      <c r="S18" s="114">
        <f>VLOOKUP(G18,'Maturity Rating'!A$2:B$5,2,FALSE)</f>
        <v>3</v>
      </c>
      <c r="T18" s="114">
        <f>VLOOKUP(H18,'Maturity Rating'!A$8:B$11,2,FALSE)</f>
        <v>3</v>
      </c>
      <c r="U18" s="114">
        <f>VLOOKUP(I18,'Maturity Rating'!A$14:B$17,2,FALSE)</f>
        <v>3</v>
      </c>
      <c r="V18" s="114">
        <f>VLOOKUP(J18,'Maturity Rating'!A$20:B$23,2,FALSE)</f>
        <v>3</v>
      </c>
      <c r="W18" t="str">
        <f t="shared" si="1"/>
        <v>3333</v>
      </c>
    </row>
    <row r="19" spans="1:24" ht="29.5" customHeight="1" thickBot="1">
      <c r="A19" s="74">
        <v>9.16</v>
      </c>
      <c r="B19" s="345"/>
      <c r="C19" s="365"/>
      <c r="D19" s="257"/>
      <c r="E19" s="266" t="s">
        <v>359</v>
      </c>
      <c r="F19" s="257" t="s">
        <v>89</v>
      </c>
      <c r="G19" s="256" t="s">
        <v>91</v>
      </c>
      <c r="H19" s="256" t="s">
        <v>91</v>
      </c>
      <c r="I19" s="256" t="s">
        <v>91</v>
      </c>
      <c r="J19" s="256" t="s">
        <v>91</v>
      </c>
      <c r="K19" s="271" t="str">
        <f t="shared" si="0"/>
        <v>NA</v>
      </c>
      <c r="L19" s="273" t="str">
        <f>IF(AND(D19="K",K19=1),'Maturity Rating'!$E$8,IF(K19="NA",K19,IF(D19="K",K19*'Maturity Rating'!$E$7,K19)))</f>
        <v>NA</v>
      </c>
      <c r="M19" s="339"/>
      <c r="N19" s="339"/>
      <c r="O19" s="361"/>
      <c r="P19" s="27"/>
      <c r="Q19" s="27"/>
      <c r="S19" s="114" t="str">
        <f>VLOOKUP(G19,'Maturity Rating'!A$2:B$5,2,FALSE)</f>
        <v>NA</v>
      </c>
      <c r="T19" s="114" t="str">
        <f>VLOOKUP(H19,'Maturity Rating'!A$8:B$11,2,FALSE)</f>
        <v>NA</v>
      </c>
      <c r="U19" s="114" t="str">
        <f>VLOOKUP(I19,'Maturity Rating'!A$14:B$17,2,FALSE)</f>
        <v>NA</v>
      </c>
      <c r="V19" s="114" t="str">
        <f>VLOOKUP(J19,'Maturity Rating'!A$20:B$23,2,FALSE)</f>
        <v>NA</v>
      </c>
      <c r="W19" t="str">
        <f t="shared" si="1"/>
        <v>NANANANA</v>
      </c>
    </row>
    <row r="20" spans="1:24" ht="29.5" thickBot="1">
      <c r="A20" s="74">
        <v>9.17</v>
      </c>
      <c r="B20" s="345"/>
      <c r="C20" s="365"/>
      <c r="D20" s="257"/>
      <c r="E20" s="266" t="s">
        <v>360</v>
      </c>
      <c r="F20" s="257" t="s">
        <v>89</v>
      </c>
      <c r="G20" s="256" t="s">
        <v>90</v>
      </c>
      <c r="H20" s="256" t="s">
        <v>125</v>
      </c>
      <c r="I20" s="256" t="s">
        <v>101</v>
      </c>
      <c r="J20" s="256" t="s">
        <v>464</v>
      </c>
      <c r="K20" s="271">
        <f t="shared" si="0"/>
        <v>2</v>
      </c>
      <c r="L20" s="273">
        <f>IF(AND(D20="K",K20=1),'Maturity Rating'!$E$8,IF(K20="NA",K20,IF(D20="K",K20*'Maturity Rating'!$E$7,K20)))</f>
        <v>2</v>
      </c>
      <c r="M20" s="339"/>
      <c r="N20" s="339"/>
      <c r="O20" s="361"/>
      <c r="P20" s="27"/>
      <c r="Q20" s="27"/>
      <c r="S20" s="114">
        <f>VLOOKUP(G20,'Maturity Rating'!A$2:B$5,2,FALSE)</f>
        <v>2</v>
      </c>
      <c r="T20" s="114">
        <f>VLOOKUP(H20,'Maturity Rating'!A$8:B$11,2,FALSE)</f>
        <v>2</v>
      </c>
      <c r="U20" s="114">
        <f>VLOOKUP(I20,'Maturity Rating'!A$14:B$17,2,FALSE)</f>
        <v>2</v>
      </c>
      <c r="V20" s="114">
        <f>VLOOKUP(J20,'Maturity Rating'!A$20:B$23,2,FALSE)</f>
        <v>2</v>
      </c>
      <c r="W20" t="str">
        <f t="shared" si="1"/>
        <v>2222</v>
      </c>
    </row>
    <row r="21" spans="1:24" ht="29.5" thickBot="1">
      <c r="A21" s="74">
        <v>9.18</v>
      </c>
      <c r="B21" s="345"/>
      <c r="C21" s="365"/>
      <c r="D21" s="257" t="s">
        <v>87</v>
      </c>
      <c r="E21" s="52" t="s">
        <v>361</v>
      </c>
      <c r="F21" s="257" t="s">
        <v>89</v>
      </c>
      <c r="G21" s="256" t="s">
        <v>90</v>
      </c>
      <c r="H21" s="256" t="s">
        <v>125</v>
      </c>
      <c r="I21" s="256" t="s">
        <v>101</v>
      </c>
      <c r="J21" s="256" t="s">
        <v>464</v>
      </c>
      <c r="K21" s="271">
        <f t="shared" si="0"/>
        <v>2</v>
      </c>
      <c r="L21" s="273">
        <f>IF(AND(D21="K",K21=1),'Maturity Rating'!$E$8,IF(K21="NA",K21,IF(D21="K",K21*'Maturity Rating'!$E$7,K21)))</f>
        <v>2.4</v>
      </c>
      <c r="M21" s="339"/>
      <c r="N21" s="339"/>
      <c r="O21" s="361"/>
      <c r="P21" s="27"/>
      <c r="Q21" s="27"/>
      <c r="S21" s="114">
        <f>VLOOKUP(G21,'Maturity Rating'!A$2:B$5,2,FALSE)</f>
        <v>2</v>
      </c>
      <c r="T21" s="114">
        <f>VLOOKUP(H21,'Maturity Rating'!A$8:B$11,2,FALSE)</f>
        <v>2</v>
      </c>
      <c r="U21" s="114">
        <f>VLOOKUP(I21,'Maturity Rating'!A$14:B$17,2,FALSE)</f>
        <v>2</v>
      </c>
      <c r="V21" s="114">
        <f>VLOOKUP(J21,'Maturity Rating'!A$20:B$23,2,FALSE)</f>
        <v>2</v>
      </c>
      <c r="W21" t="str">
        <f t="shared" si="1"/>
        <v>2222</v>
      </c>
    </row>
    <row r="22" spans="1:24" ht="29.5" thickBot="1">
      <c r="A22" s="74">
        <v>9.19</v>
      </c>
      <c r="B22" s="345"/>
      <c r="C22" s="365"/>
      <c r="D22" s="257"/>
      <c r="E22" s="266" t="s">
        <v>362</v>
      </c>
      <c r="F22" s="257" t="s">
        <v>89</v>
      </c>
      <c r="G22" s="256" t="s">
        <v>118</v>
      </c>
      <c r="H22" s="256" t="s">
        <v>100</v>
      </c>
      <c r="I22" s="256" t="s">
        <v>120</v>
      </c>
      <c r="J22" s="256" t="s">
        <v>129</v>
      </c>
      <c r="K22" s="271">
        <f t="shared" si="0"/>
        <v>3</v>
      </c>
      <c r="L22" s="273">
        <f>IF(AND(D22="K",K22=1),'Maturity Rating'!$E$8,IF(K22="NA",K22,IF(D22="K",K22*'Maturity Rating'!$E$7,K22)))</f>
        <v>3</v>
      </c>
      <c r="M22" s="339"/>
      <c r="N22" s="339"/>
      <c r="O22" s="361"/>
      <c r="P22" s="27"/>
      <c r="Q22" s="27"/>
      <c r="S22" s="114">
        <f>VLOOKUP(G22,'Maturity Rating'!A$2:B$5,2,FALSE)</f>
        <v>3</v>
      </c>
      <c r="T22" s="114">
        <f>VLOOKUP(H22,'Maturity Rating'!A$8:B$11,2,FALSE)</f>
        <v>3</v>
      </c>
      <c r="U22" s="114">
        <f>VLOOKUP(I22,'Maturity Rating'!A$14:B$17,2,FALSE)</f>
        <v>3</v>
      </c>
      <c r="V22" s="114">
        <f>VLOOKUP(J22,'Maturity Rating'!A$20:B$23,2,FALSE)</f>
        <v>3</v>
      </c>
      <c r="W22" t="str">
        <f t="shared" si="1"/>
        <v>3333</v>
      </c>
    </row>
    <row r="23" spans="1:24" ht="29.5" thickBot="1">
      <c r="A23" s="74" t="s">
        <v>363</v>
      </c>
      <c r="B23" s="345"/>
      <c r="C23" s="365"/>
      <c r="D23" s="257"/>
      <c r="E23" s="266" t="s">
        <v>364</v>
      </c>
      <c r="F23" s="257" t="s">
        <v>89</v>
      </c>
      <c r="G23" s="256" t="s">
        <v>90</v>
      </c>
      <c r="H23" s="256" t="s">
        <v>95</v>
      </c>
      <c r="I23" s="256" t="s">
        <v>206</v>
      </c>
      <c r="J23" s="256" t="s">
        <v>102</v>
      </c>
      <c r="K23" s="271">
        <f t="shared" si="0"/>
        <v>0.625</v>
      </c>
      <c r="L23" s="273">
        <f>IF(AND(D23="K",K23=1),'Maturity Rating'!$E$8,IF(K23="NA",K23,IF(D23="K",K23*'Maturity Rating'!$E$7,K23)))</f>
        <v>0.625</v>
      </c>
      <c r="M23" s="339"/>
      <c r="N23" s="339"/>
      <c r="O23" s="361"/>
      <c r="P23" s="27"/>
      <c r="Q23" s="27"/>
      <c r="S23" s="114">
        <f>VLOOKUP(G23,'Maturity Rating'!A$2:B$5,2,FALSE)</f>
        <v>2</v>
      </c>
      <c r="T23" s="114">
        <f>VLOOKUP(H23,'Maturity Rating'!A$8:B$11,2,FALSE)</f>
        <v>1</v>
      </c>
      <c r="U23" s="114">
        <f>VLOOKUP(I23,'Maturity Rating'!A$14:B$17,2,FALSE)</f>
        <v>1</v>
      </c>
      <c r="V23" s="114">
        <f>VLOOKUP(J23,'Maturity Rating'!A$20:B$23,2,FALSE)</f>
        <v>1</v>
      </c>
      <c r="W23" t="str">
        <f t="shared" si="1"/>
        <v>2111</v>
      </c>
    </row>
    <row r="24" spans="1:24" ht="34" customHeight="1" thickBot="1">
      <c r="A24" s="74">
        <v>9.2100000000000009</v>
      </c>
      <c r="B24" s="345"/>
      <c r="C24" s="365"/>
      <c r="D24" s="257" t="s">
        <v>87</v>
      </c>
      <c r="E24" s="52" t="s">
        <v>365</v>
      </c>
      <c r="F24" s="257" t="s">
        <v>89</v>
      </c>
      <c r="G24" s="256" t="s">
        <v>127</v>
      </c>
      <c r="H24" s="256" t="s">
        <v>95</v>
      </c>
      <c r="I24" s="256" t="s">
        <v>206</v>
      </c>
      <c r="J24" s="256" t="s">
        <v>102</v>
      </c>
      <c r="K24" s="271">
        <f t="shared" si="0"/>
        <v>1</v>
      </c>
      <c r="L24" s="273">
        <f>IF(AND(D24="K",K24=1),'Maturity Rating'!$E$8,IF(K24="NA",K24,IF(D24="K",K24*'Maturity Rating'!$E$7,K24)))</f>
        <v>0.8</v>
      </c>
      <c r="M24" s="339"/>
      <c r="N24" s="339"/>
      <c r="O24" s="361"/>
      <c r="P24" s="27"/>
      <c r="Q24" s="27"/>
      <c r="S24" s="114">
        <f>VLOOKUP(G24,'Maturity Rating'!A$2:B$5,2,FALSE)</f>
        <v>1</v>
      </c>
      <c r="T24" s="114">
        <f>VLOOKUP(H24,'Maturity Rating'!A$8:B$11,2,FALSE)</f>
        <v>1</v>
      </c>
      <c r="U24" s="114">
        <f>VLOOKUP(I24,'Maturity Rating'!A$14:B$17,2,FALSE)</f>
        <v>1</v>
      </c>
      <c r="V24" s="114">
        <f>VLOOKUP(J24,'Maturity Rating'!A$20:B$23,2,FALSE)</f>
        <v>1</v>
      </c>
      <c r="W24" t="str">
        <f t="shared" si="1"/>
        <v>1111</v>
      </c>
    </row>
    <row r="25" spans="1:24" ht="28.5" customHeight="1" thickBot="1">
      <c r="A25" s="74">
        <v>9.2200000000000006</v>
      </c>
      <c r="B25" s="345"/>
      <c r="C25" s="365"/>
      <c r="D25" s="257"/>
      <c r="E25" s="266" t="s">
        <v>366</v>
      </c>
      <c r="F25" s="55" t="s">
        <v>89</v>
      </c>
      <c r="G25" s="256" t="s">
        <v>118</v>
      </c>
      <c r="H25" s="256" t="s">
        <v>100</v>
      </c>
      <c r="I25" s="256" t="s">
        <v>120</v>
      </c>
      <c r="J25" s="256" t="s">
        <v>129</v>
      </c>
      <c r="K25" s="271">
        <f t="shared" si="0"/>
        <v>3</v>
      </c>
      <c r="L25" s="273">
        <f>IF(AND(D25="K",K25=1),'Maturity Rating'!$E$8,IF(K25="NA",K25,IF(D25="K",K25*'Maturity Rating'!$E$7,K25)))</f>
        <v>3</v>
      </c>
      <c r="M25" s="339"/>
      <c r="N25" s="339"/>
      <c r="O25" s="361"/>
      <c r="P25" s="27"/>
      <c r="Q25" s="27"/>
      <c r="S25" s="114">
        <f>VLOOKUP(G25,'Maturity Rating'!A$2:B$5,2,FALSE)</f>
        <v>3</v>
      </c>
      <c r="T25" s="114">
        <f>VLOOKUP(H25,'Maturity Rating'!A$8:B$11,2,FALSE)</f>
        <v>3</v>
      </c>
      <c r="U25" s="114">
        <f>VLOOKUP(I25,'Maturity Rating'!A$14:B$17,2,FALSE)</f>
        <v>3</v>
      </c>
      <c r="V25" s="114">
        <f>VLOOKUP(J25,'Maturity Rating'!A$20:B$23,2,FALSE)</f>
        <v>3</v>
      </c>
      <c r="W25" t="str">
        <f t="shared" si="1"/>
        <v>3333</v>
      </c>
    </row>
    <row r="26" spans="1:24" ht="29.5" thickBot="1">
      <c r="A26" s="74">
        <v>9.23</v>
      </c>
      <c r="B26" s="345"/>
      <c r="C26" s="365"/>
      <c r="D26" s="257"/>
      <c r="E26" s="266" t="s">
        <v>367</v>
      </c>
      <c r="F26" s="55" t="s">
        <v>105</v>
      </c>
      <c r="G26" s="256" t="s">
        <v>127</v>
      </c>
      <c r="H26" s="256" t="s">
        <v>95</v>
      </c>
      <c r="I26" s="256" t="s">
        <v>206</v>
      </c>
      <c r="J26" s="256" t="s">
        <v>102</v>
      </c>
      <c r="K26" s="271">
        <f t="shared" si="0"/>
        <v>1</v>
      </c>
      <c r="L26" s="273">
        <f>IF(AND(D26="K",K26=1),'Maturity Rating'!$E$8,IF(K26="NA",K26,IF(D26="K",K26*'Maturity Rating'!$E$7,K26)))</f>
        <v>1</v>
      </c>
      <c r="M26" s="339"/>
      <c r="N26" s="339"/>
      <c r="O26" s="361"/>
      <c r="P26" s="27"/>
      <c r="Q26" s="27"/>
      <c r="S26" s="114">
        <f>VLOOKUP(G26,'Maturity Rating'!A$2:B$5,2,FALSE)</f>
        <v>1</v>
      </c>
      <c r="T26" s="114">
        <f>VLOOKUP(H26,'Maturity Rating'!A$8:B$11,2,FALSE)</f>
        <v>1</v>
      </c>
      <c r="U26" s="114">
        <f>VLOOKUP(I26,'Maturity Rating'!A$14:B$17,2,FALSE)</f>
        <v>1</v>
      </c>
      <c r="V26" s="114">
        <f>VLOOKUP(J26,'Maturity Rating'!A$20:B$23,2,FALSE)</f>
        <v>1</v>
      </c>
      <c r="W26" t="str">
        <f t="shared" si="1"/>
        <v>1111</v>
      </c>
    </row>
    <row r="27" spans="1:24" ht="29.5" thickBot="1">
      <c r="A27" s="74">
        <v>9.24</v>
      </c>
      <c r="B27" s="345"/>
      <c r="C27" s="365"/>
      <c r="D27" s="257"/>
      <c r="E27" s="266" t="s">
        <v>368</v>
      </c>
      <c r="F27" s="55" t="s">
        <v>105</v>
      </c>
      <c r="G27" s="256" t="s">
        <v>127</v>
      </c>
      <c r="H27" s="256" t="s">
        <v>95</v>
      </c>
      <c r="I27" s="256" t="s">
        <v>206</v>
      </c>
      <c r="J27" s="256" t="s">
        <v>102</v>
      </c>
      <c r="K27" s="271">
        <f t="shared" si="0"/>
        <v>1</v>
      </c>
      <c r="L27" s="273">
        <f>IF(AND(D27="K",K27=1),'Maturity Rating'!$E$8,IF(K27="NA",K27,IF(D27="K",K27*'Maturity Rating'!$E$7,K27)))</f>
        <v>1</v>
      </c>
      <c r="M27" s="339"/>
      <c r="N27" s="339"/>
      <c r="O27" s="361"/>
      <c r="P27" s="27"/>
      <c r="Q27" s="27"/>
      <c r="S27" s="114">
        <f>VLOOKUP(G27,'Maturity Rating'!A$2:B$5,2,FALSE)</f>
        <v>1</v>
      </c>
      <c r="T27" s="114">
        <f>VLOOKUP(H27,'Maturity Rating'!A$8:B$11,2,FALSE)</f>
        <v>1</v>
      </c>
      <c r="U27" s="114">
        <f>VLOOKUP(I27,'Maturity Rating'!A$14:B$17,2,FALSE)</f>
        <v>1</v>
      </c>
      <c r="V27" s="114">
        <f>VLOOKUP(J27,'Maturity Rating'!A$20:B$23,2,FALSE)</f>
        <v>1</v>
      </c>
      <c r="W27" t="str">
        <f t="shared" si="1"/>
        <v>1111</v>
      </c>
    </row>
    <row r="28" spans="1:24" ht="29.5" thickBot="1">
      <c r="A28" s="75">
        <v>9.25</v>
      </c>
      <c r="B28" s="347"/>
      <c r="C28" s="367"/>
      <c r="D28" s="259" t="s">
        <v>87</v>
      </c>
      <c r="E28" s="190" t="s">
        <v>369</v>
      </c>
      <c r="F28" s="59" t="s">
        <v>105</v>
      </c>
      <c r="G28" s="256" t="s">
        <v>90</v>
      </c>
      <c r="H28" s="256" t="s">
        <v>125</v>
      </c>
      <c r="I28" s="256" t="s">
        <v>101</v>
      </c>
      <c r="J28" s="256" t="s">
        <v>464</v>
      </c>
      <c r="K28" s="272">
        <f t="shared" si="0"/>
        <v>2</v>
      </c>
      <c r="L28" s="272">
        <f>IF(AND(D28="K",K28=1),'Maturity Rating'!$E$8,IF(K28="NA",K28,IF(D28="K",K28*'Maturity Rating'!$E$7,K28)))</f>
        <v>2.4</v>
      </c>
      <c r="M28" s="340"/>
      <c r="N28" s="340"/>
      <c r="O28" s="362"/>
      <c r="P28" s="27"/>
      <c r="Q28" s="27"/>
      <c r="S28" s="114">
        <f>VLOOKUP(G28,'Maturity Rating'!A$2:B$5,2,FALSE)</f>
        <v>2</v>
      </c>
      <c r="T28" s="114">
        <f>VLOOKUP(H28,'Maturity Rating'!A$8:B$11,2,FALSE)</f>
        <v>2</v>
      </c>
      <c r="U28" s="114">
        <f>VLOOKUP(I28,'Maturity Rating'!A$14:B$17,2,FALSE)</f>
        <v>2</v>
      </c>
      <c r="V28" s="114">
        <f>VLOOKUP(J28,'Maturity Rating'!A$20:B$23,2,FALSE)</f>
        <v>2</v>
      </c>
      <c r="W28" t="str">
        <f t="shared" si="1"/>
        <v>2222</v>
      </c>
    </row>
  </sheetData>
  <mergeCells count="21">
    <mergeCell ref="B17:B28"/>
    <mergeCell ref="C17:C28"/>
    <mergeCell ref="M17:M28"/>
    <mergeCell ref="N17:N28"/>
    <mergeCell ref="O17:O28"/>
    <mergeCell ref="B7:B9"/>
    <mergeCell ref="C7:C9"/>
    <mergeCell ref="M7:M9"/>
    <mergeCell ref="N7:N9"/>
    <mergeCell ref="O7:O9"/>
    <mergeCell ref="B10:B16"/>
    <mergeCell ref="C10:C16"/>
    <mergeCell ref="M10:M16"/>
    <mergeCell ref="N10:N16"/>
    <mergeCell ref="O10:O16"/>
    <mergeCell ref="O4:O6"/>
    <mergeCell ref="C1:D1"/>
    <mergeCell ref="B4:B6"/>
    <mergeCell ref="C4:C6"/>
    <mergeCell ref="M4:M6"/>
    <mergeCell ref="N4:N6"/>
  </mergeCells>
  <pageMargins left="0.7" right="0.7" top="0.75" bottom="0.75" header="0.3" footer="0.3"/>
  <pageSetup paperSize="9" orientation="portrait" r:id="rId1"/>
  <ignoredErrors>
    <ignoredError sqref="E1:F1 K5:O6 K4:L4 N4:O4 K8:O28 K7:L7 N7:O7" evalError="1"/>
  </ignoredErrors>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C00-000000000000}">
          <x14:formula1>
            <xm:f>'Maturity Rating'!$A$20:$A$23</xm:f>
          </x14:formula1>
          <xm:sqref>J4:J28</xm:sqref>
        </x14:dataValidation>
        <x14:dataValidation type="list" allowBlank="1" showInputMessage="1" showErrorMessage="1" xr:uid="{00000000-0002-0000-0C00-000001000000}">
          <x14:formula1>
            <xm:f>'Maturity Rating'!$A$2:$A$5</xm:f>
          </x14:formula1>
          <xm:sqref>G4:G28</xm:sqref>
        </x14:dataValidation>
        <x14:dataValidation type="list" allowBlank="1" showInputMessage="1" showErrorMessage="1" xr:uid="{00000000-0002-0000-0C00-000002000000}">
          <x14:formula1>
            <xm:f>'Maturity Rating'!$A$8:$A$11</xm:f>
          </x14:formula1>
          <xm:sqref>H4:H28</xm:sqref>
        </x14:dataValidation>
        <x14:dataValidation type="list" allowBlank="1" showInputMessage="1" showErrorMessage="1" xr:uid="{00000000-0002-0000-0C00-000003000000}">
          <x14:formula1>
            <xm:f>'Maturity Rating'!$A$14:$A$17</xm:f>
          </x14:formula1>
          <xm:sqref>I4:I28</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2"/>
  </sheetPr>
  <dimension ref="A1:X94"/>
  <sheetViews>
    <sheetView showGridLines="0" topLeftCell="B88" zoomScale="58" zoomScaleNormal="80" workbookViewId="0"/>
  </sheetViews>
  <sheetFormatPr defaultColWidth="9.08984375" defaultRowHeight="14.5"/>
  <cols>
    <col min="1" max="1" width="8.90625" style="22" customWidth="1"/>
    <col min="2" max="2" width="23.08984375" style="24" customWidth="1"/>
    <col min="3" max="3" width="34.90625" style="25" customWidth="1"/>
    <col min="4" max="4" width="25" style="25" customWidth="1"/>
    <col min="5" max="5" width="79.1796875" style="24" customWidth="1"/>
    <col min="6" max="6" width="31.36328125" style="22" customWidth="1"/>
    <col min="7" max="10" width="20.6328125" style="62" customWidth="1"/>
    <col min="11" max="11" width="13.6328125" style="24" bestFit="1" customWidth="1"/>
    <col min="12" max="12" width="26.36328125" style="24" customWidth="1"/>
    <col min="13" max="13" width="18.81640625" style="24" customWidth="1"/>
    <col min="14" max="14" width="20.90625" style="62" customWidth="1"/>
    <col min="15" max="15" width="13.6328125" style="24" customWidth="1"/>
    <col min="16" max="16" width="6.453125" style="24" customWidth="1"/>
    <col min="17" max="17" width="3.90625" style="24" hidden="1" customWidth="1"/>
    <col min="18" max="18" width="3.1796875" style="24" hidden="1" customWidth="1"/>
    <col min="19" max="19" width="2.81640625" style="62" hidden="1" customWidth="1"/>
    <col min="20" max="20" width="5.6328125" style="62" hidden="1" customWidth="1"/>
    <col min="21" max="21" width="6" style="62" hidden="1" customWidth="1"/>
    <col min="22" max="22" width="6.453125" style="62" hidden="1" customWidth="1"/>
    <col min="23" max="23" width="6.6328125" style="24" hidden="1" customWidth="1"/>
    <col min="24" max="24" width="7.453125" style="24" hidden="1" customWidth="1"/>
    <col min="25" max="25" width="7.54296875" style="24" customWidth="1"/>
    <col min="26" max="16384" width="9.08984375" style="24"/>
  </cols>
  <sheetData>
    <row r="1" spans="1:24" ht="22.5" customHeight="1" thickBot="1">
      <c r="C1" s="353" t="s">
        <v>66</v>
      </c>
      <c r="D1" s="354"/>
      <c r="E1" s="45" t="str">
        <f>IF(F1="NA","Not Applicable",VLOOKUP(T1,'Maturity Rating'!G4:H8,2,FALSE))</f>
        <v>Partial</v>
      </c>
      <c r="F1" s="46">
        <f>IF(U1="NANANANANANANANANANANANA","NA",AVERAGE(N4:N94))</f>
        <v>2.9475565329731999</v>
      </c>
      <c r="G1" s="21"/>
      <c r="H1" s="68" t="e">
        <f>ROUNDDOWN(#REF!,0)</f>
        <v>#REF!</v>
      </c>
      <c r="I1" s="22"/>
      <c r="J1" s="22"/>
      <c r="S1" s="24"/>
      <c r="T1" s="82">
        <f>ROUNDDOWN(F1,0)</f>
        <v>2</v>
      </c>
      <c r="U1" s="24" t="str">
        <f>CONCATENATE(N4,N8,N19,N27,N34,N42,N47,N53,N58,N68,N75,N84,L86)</f>
        <v>4.416666666666673.840909090909092.795138888888893.063492063492063.041666666666672.11.611111111111112.444444444444442.480555555555562.817460317460322.962962962962963.751</v>
      </c>
      <c r="V1" s="24"/>
    </row>
    <row r="2" spans="1:24" ht="15" thickBot="1">
      <c r="K2" s="128"/>
    </row>
    <row r="3" spans="1:24" s="22" customFormat="1" ht="30.75" customHeight="1" thickBot="1">
      <c r="A3" s="106" t="s">
        <v>2</v>
      </c>
      <c r="B3" s="48" t="s">
        <v>67</v>
      </c>
      <c r="C3" s="48" t="s">
        <v>68</v>
      </c>
      <c r="D3" s="48" t="s">
        <v>69</v>
      </c>
      <c r="E3" s="48" t="s">
        <v>70</v>
      </c>
      <c r="F3" s="48" t="s">
        <v>71</v>
      </c>
      <c r="G3" s="81" t="s">
        <v>72</v>
      </c>
      <c r="H3" s="48" t="s">
        <v>73</v>
      </c>
      <c r="I3" s="48" t="s">
        <v>74</v>
      </c>
      <c r="J3" s="48" t="s">
        <v>75</v>
      </c>
      <c r="K3" s="126" t="s">
        <v>76</v>
      </c>
      <c r="L3" s="81" t="s">
        <v>77</v>
      </c>
      <c r="M3" s="48" t="s">
        <v>78</v>
      </c>
      <c r="N3" s="48" t="s">
        <v>79</v>
      </c>
      <c r="O3" s="101" t="s">
        <v>80</v>
      </c>
      <c r="P3" s="24"/>
      <c r="Q3" s="24"/>
      <c r="R3" s="24"/>
      <c r="S3" s="186" t="s">
        <v>81</v>
      </c>
      <c r="T3" s="186" t="s">
        <v>82</v>
      </c>
      <c r="U3" s="186" t="s">
        <v>83</v>
      </c>
      <c r="V3" s="186" t="s">
        <v>84</v>
      </c>
    </row>
    <row r="4" spans="1:24" ht="30" customHeight="1">
      <c r="A4" s="4">
        <v>10.1</v>
      </c>
      <c r="B4" s="359" t="s">
        <v>85</v>
      </c>
      <c r="C4" s="368" t="s">
        <v>370</v>
      </c>
      <c r="D4" s="256" t="s">
        <v>87</v>
      </c>
      <c r="E4" s="51" t="s">
        <v>371</v>
      </c>
      <c r="F4" s="108" t="s">
        <v>89</v>
      </c>
      <c r="G4" s="263" t="s">
        <v>118</v>
      </c>
      <c r="H4" s="109" t="s">
        <v>100</v>
      </c>
      <c r="I4" s="264" t="s">
        <v>120</v>
      </c>
      <c r="J4" s="264" t="s">
        <v>91</v>
      </c>
      <c r="K4" s="271">
        <f>IF(W4="NANANANA",S4,IF(AND(OR(G4="Formally Documented",G4="Informally Documented"),H4="Not Implemented"),0.5*AVERAGE(S4:V4),AVERAGE(S4:V4)))</f>
        <v>3</v>
      </c>
      <c r="L4" s="271">
        <f>IF(AND(D4="K",K4=1),'Maturity Rating'!$E$8,IF(K4="NA",K4,IF(D4="K",K4*'Maturity Rating'!$E$7,K4)))</f>
        <v>3.5999999999999996</v>
      </c>
      <c r="M4" s="388">
        <f>IF(X4="NANANANANA",K4,AVERAGE(L4:L7))</f>
        <v>2.65</v>
      </c>
      <c r="N4" s="338">
        <f>IF(M4&lt;1.1,1,IF(M4="NA",M4,(MIN(5,M4/3*5))))</f>
        <v>4.4166666666666661</v>
      </c>
      <c r="O4" s="341" t="str">
        <f>IF(N4="NA",N4,VLOOKUP(Q4,'Maturity Rating'!G4:H8,2,FALSE))</f>
        <v>Repeatable</v>
      </c>
      <c r="P4" s="21"/>
      <c r="Q4" s="244">
        <f>IF(N4="NA",N4,ROUNDDOWN(N4,0))</f>
        <v>4</v>
      </c>
      <c r="S4" s="257">
        <f>VLOOKUP(G4,'Maturity Rating'!A$2:B$5,2,FALSE)</f>
        <v>3</v>
      </c>
      <c r="T4" s="257">
        <f>VLOOKUP(H4,'Maturity Rating'!A$8:B$11,2,FALSE)</f>
        <v>3</v>
      </c>
      <c r="U4" s="257">
        <f>VLOOKUP(I4,'Maturity Rating'!A$14:B$17,2,FALSE)</f>
        <v>3</v>
      </c>
      <c r="V4" s="257" t="str">
        <f>VLOOKUP(J4,'Maturity Rating'!A$20:B$23,2,FALSE)</f>
        <v>NA</v>
      </c>
      <c r="W4" s="24" t="str">
        <f>CONCATENATE(S4,T4,U4,V4)</f>
        <v>333NA</v>
      </c>
      <c r="X4" s="24" t="str">
        <f>CONCATENATE(L4,L5,L6,L7)</f>
        <v>3.6331</v>
      </c>
    </row>
    <row r="5" spans="1:24">
      <c r="A5" s="3">
        <v>10.199999999999999</v>
      </c>
      <c r="B5" s="345"/>
      <c r="C5" s="365"/>
      <c r="D5" s="257"/>
      <c r="E5" s="266" t="s">
        <v>372</v>
      </c>
      <c r="F5" s="79" t="s">
        <v>89</v>
      </c>
      <c r="G5" s="79" t="s">
        <v>118</v>
      </c>
      <c r="H5" s="257" t="s">
        <v>100</v>
      </c>
      <c r="I5" s="257" t="s">
        <v>120</v>
      </c>
      <c r="J5" s="257" t="s">
        <v>91</v>
      </c>
      <c r="K5" s="271">
        <f t="shared" ref="K5:K67" si="0">IF(W5="NANANANA",S5,IF(AND(OR(G5="Formally Documented",G5="Informally Documented"),H5="Not Implemented"),0.5*AVERAGE(S5:V5),AVERAGE(S5:V5)))</f>
        <v>3</v>
      </c>
      <c r="L5" s="271">
        <f>IF(AND(D5="K",K5=1),'Maturity Rating'!$E$8,IF(K5="NA",K5,IF(D5="K",K5*'Maturity Rating'!$E$7,K5)))</f>
        <v>3</v>
      </c>
      <c r="M5" s="389"/>
      <c r="N5" s="339"/>
      <c r="O5" s="342"/>
      <c r="P5" s="21"/>
      <c r="S5" s="257">
        <f>VLOOKUP(G5,'Maturity Rating'!A$2:B$5,2,FALSE)</f>
        <v>3</v>
      </c>
      <c r="T5" s="257">
        <f>VLOOKUP(H5,'Maturity Rating'!A$8:B$11,2,FALSE)</f>
        <v>3</v>
      </c>
      <c r="U5" s="257">
        <f>VLOOKUP(I5,'Maturity Rating'!A$14:B$17,2,FALSE)</f>
        <v>3</v>
      </c>
      <c r="V5" s="257" t="str">
        <f>VLOOKUP(J5,'Maturity Rating'!A$20:B$23,2,FALSE)</f>
        <v>NA</v>
      </c>
      <c r="W5" s="24" t="str">
        <f t="shared" ref="W5:W58" si="1">CONCATENATE(S5,T5,U5,V5)</f>
        <v>333NA</v>
      </c>
    </row>
    <row r="6" spans="1:24" ht="29">
      <c r="A6" s="3">
        <v>10.3</v>
      </c>
      <c r="B6" s="345"/>
      <c r="C6" s="365"/>
      <c r="D6" s="257"/>
      <c r="E6" s="266" t="s">
        <v>93</v>
      </c>
      <c r="F6" s="79" t="s">
        <v>89</v>
      </c>
      <c r="G6" s="79" t="s">
        <v>118</v>
      </c>
      <c r="H6" s="257" t="s">
        <v>100</v>
      </c>
      <c r="I6" s="257" t="s">
        <v>120</v>
      </c>
      <c r="J6" s="257" t="s">
        <v>91</v>
      </c>
      <c r="K6" s="271">
        <f t="shared" si="0"/>
        <v>3</v>
      </c>
      <c r="L6" s="271">
        <f>IF(AND(D6="K",K6=1),'Maturity Rating'!$E$8,IF(K6="NA",K6,IF(D6="K",K6*'Maturity Rating'!$E$7,K6)))</f>
        <v>3</v>
      </c>
      <c r="M6" s="389"/>
      <c r="N6" s="339"/>
      <c r="O6" s="342"/>
      <c r="P6" s="21"/>
      <c r="Q6" s="21"/>
      <c r="S6" s="257">
        <f>VLOOKUP(G6,'Maturity Rating'!A$2:B$5,2,FALSE)</f>
        <v>3</v>
      </c>
      <c r="T6" s="257">
        <f>VLOOKUP(H6,'Maturity Rating'!A$8:B$11,2,FALSE)</f>
        <v>3</v>
      </c>
      <c r="U6" s="257">
        <f>VLOOKUP(I6,'Maturity Rating'!A$14:B$17,2,FALSE)</f>
        <v>3</v>
      </c>
      <c r="V6" s="257" t="str">
        <f>VLOOKUP(J6,'Maturity Rating'!A$20:B$23,2,FALSE)</f>
        <v>NA</v>
      </c>
      <c r="W6" s="24" t="str">
        <f t="shared" si="1"/>
        <v>333NA</v>
      </c>
    </row>
    <row r="7" spans="1:24" ht="30.75" customHeight="1" thickBot="1">
      <c r="A7" s="2">
        <v>10.4</v>
      </c>
      <c r="B7" s="347"/>
      <c r="C7" s="367"/>
      <c r="D7" s="259"/>
      <c r="E7" s="268" t="s">
        <v>94</v>
      </c>
      <c r="F7" s="80" t="s">
        <v>89</v>
      </c>
      <c r="G7" s="259" t="s">
        <v>127</v>
      </c>
      <c r="H7" s="149" t="s">
        <v>95</v>
      </c>
      <c r="I7" s="259" t="s">
        <v>91</v>
      </c>
      <c r="J7" s="259" t="s">
        <v>91</v>
      </c>
      <c r="K7" s="272">
        <f t="shared" si="0"/>
        <v>1</v>
      </c>
      <c r="L7" s="272">
        <f>IF(AND(D7="K",K7=1),'Maturity Rating'!$E$8,IF(K7="NA",K7,IF(D7="K",K7*'Maturity Rating'!$E$7,K7)))</f>
        <v>1</v>
      </c>
      <c r="M7" s="390"/>
      <c r="N7" s="340"/>
      <c r="O7" s="343"/>
      <c r="P7" s="21"/>
      <c r="Q7" s="244"/>
      <c r="S7" s="257">
        <f>VLOOKUP(G7,'Maturity Rating'!A$2:B$5,2,FALSE)</f>
        <v>1</v>
      </c>
      <c r="T7" s="257">
        <f>VLOOKUP(H7,'Maturity Rating'!A$8:B$11,2,FALSE)</f>
        <v>1</v>
      </c>
      <c r="U7" s="257" t="str">
        <f>VLOOKUP(I7,'Maturity Rating'!A$14:B$17,2,FALSE)</f>
        <v>NA</v>
      </c>
      <c r="V7" s="257" t="str">
        <f>VLOOKUP(J7,'Maturity Rating'!A$20:B$23,2,FALSE)</f>
        <v>NA</v>
      </c>
      <c r="W7" s="24" t="str">
        <f t="shared" si="1"/>
        <v>11NANA</v>
      </c>
    </row>
    <row r="8" spans="1:24" ht="30" customHeight="1">
      <c r="A8" s="107">
        <v>10.5</v>
      </c>
      <c r="B8" s="344" t="s">
        <v>373</v>
      </c>
      <c r="C8" s="364" t="s">
        <v>374</v>
      </c>
      <c r="D8" s="263"/>
      <c r="E8" s="279" t="s">
        <v>375</v>
      </c>
      <c r="F8" s="263" t="s">
        <v>89</v>
      </c>
      <c r="G8" s="79" t="s">
        <v>118</v>
      </c>
      <c r="H8" s="263" t="s">
        <v>100</v>
      </c>
      <c r="I8" s="263" t="s">
        <v>120</v>
      </c>
      <c r="J8" s="263" t="s">
        <v>129</v>
      </c>
      <c r="K8" s="271">
        <f t="shared" si="0"/>
        <v>3</v>
      </c>
      <c r="L8" s="271">
        <f>IF(AND(D8="K",K8=1),'Maturity Rating'!$E$8,IF(K8="NA",K8,IF(D8="K",K8*'Maturity Rating'!$E$7,K8)))</f>
        <v>3</v>
      </c>
      <c r="M8" s="338">
        <f>IF(X8="NANANANANANANANANANANANANA",K8,AVERAGE(L8:L18))</f>
        <v>2.3045454545454547</v>
      </c>
      <c r="N8" s="338">
        <f>IF(M8&lt;1.1,1,IF(M8="NA",M8,(MIN(5,M8/3*5))))</f>
        <v>3.8409090909090908</v>
      </c>
      <c r="O8" s="363" t="str">
        <f>IF(N8="NA",N8,VLOOKUP(Q8,'Maturity Rating'!G4:H8,2,FALSE))</f>
        <v>Defined</v>
      </c>
      <c r="P8" s="21"/>
      <c r="Q8" s="244">
        <f>IF(N8="NA",N8,ROUNDDOWN(N8,0))</f>
        <v>3</v>
      </c>
      <c r="S8" s="257">
        <f>VLOOKUP(G8,'Maturity Rating'!A$2:B$5,2,FALSE)</f>
        <v>3</v>
      </c>
      <c r="T8" s="257">
        <f>VLOOKUP(H8,'Maturity Rating'!A$8:B$11,2,FALSE)</f>
        <v>3</v>
      </c>
      <c r="U8" s="257">
        <f>VLOOKUP(I8,'Maturity Rating'!A$14:B$17,2,FALSE)</f>
        <v>3</v>
      </c>
      <c r="V8" s="257">
        <f>VLOOKUP(J8,'Maturity Rating'!A$20:B$23,2,FALSE)</f>
        <v>3</v>
      </c>
      <c r="W8" s="24" t="str">
        <f t="shared" si="1"/>
        <v>3333</v>
      </c>
      <c r="X8" s="24" t="str">
        <f>CONCATENATE(L8,L9,L10,L11,L12,L13,L14,L15,L16,L17,L18)</f>
        <v>32.2531.752.75313113.6</v>
      </c>
    </row>
    <row r="9" spans="1:24" ht="29">
      <c r="A9" s="3">
        <v>10.6</v>
      </c>
      <c r="B9" s="345"/>
      <c r="C9" s="365"/>
      <c r="D9" s="257"/>
      <c r="E9" s="266" t="s">
        <v>376</v>
      </c>
      <c r="F9" s="257" t="s">
        <v>105</v>
      </c>
      <c r="G9" s="79" t="s">
        <v>90</v>
      </c>
      <c r="H9" s="263" t="s">
        <v>100</v>
      </c>
      <c r="I9" s="263" t="s">
        <v>206</v>
      </c>
      <c r="J9" s="263" t="s">
        <v>129</v>
      </c>
      <c r="K9" s="271">
        <f t="shared" si="0"/>
        <v>2.25</v>
      </c>
      <c r="L9" s="271">
        <f>IF(AND(D9="K",K9=1),'Maturity Rating'!$E$8,IF(K9="NA",K9,IF(D9="K",K9*'Maturity Rating'!$E$7,K9)))</f>
        <v>2.25</v>
      </c>
      <c r="M9" s="339"/>
      <c r="N9" s="339"/>
      <c r="O9" s="361"/>
      <c r="P9" s="21"/>
      <c r="Q9" s="244"/>
      <c r="S9" s="257">
        <f>VLOOKUP(G9,'Maturity Rating'!A$2:B$5,2,FALSE)</f>
        <v>2</v>
      </c>
      <c r="T9" s="257">
        <f>VLOOKUP(H9,'Maturity Rating'!A$8:B$11,2,FALSE)</f>
        <v>3</v>
      </c>
      <c r="U9" s="257">
        <f>VLOOKUP(I9,'Maturity Rating'!A$14:B$17,2,FALSE)</f>
        <v>1</v>
      </c>
      <c r="V9" s="257">
        <f>VLOOKUP(J9,'Maturity Rating'!A$20:B$23,2,FALSE)</f>
        <v>3</v>
      </c>
      <c r="W9" s="24" t="str">
        <f t="shared" si="1"/>
        <v>2313</v>
      </c>
    </row>
    <row r="10" spans="1:24">
      <c r="A10" s="3">
        <v>10.7</v>
      </c>
      <c r="B10" s="345"/>
      <c r="C10" s="365"/>
      <c r="D10" s="257"/>
      <c r="E10" s="266" t="s">
        <v>377</v>
      </c>
      <c r="F10" s="257" t="s">
        <v>105</v>
      </c>
      <c r="G10" s="79" t="s">
        <v>118</v>
      </c>
      <c r="H10" s="263" t="s">
        <v>100</v>
      </c>
      <c r="I10" s="263" t="s">
        <v>120</v>
      </c>
      <c r="J10" s="263" t="s">
        <v>129</v>
      </c>
      <c r="K10" s="271">
        <f t="shared" si="0"/>
        <v>3</v>
      </c>
      <c r="L10" s="271">
        <f>IF(AND(D10="K",K10=1),'Maturity Rating'!$E$8,IF(K10="NA",K10,IF(D10="K",K10*'Maturity Rating'!$E$7,K10)))</f>
        <v>3</v>
      </c>
      <c r="M10" s="339"/>
      <c r="N10" s="339"/>
      <c r="O10" s="361"/>
      <c r="P10" s="21"/>
      <c r="Q10" s="244"/>
      <c r="S10" s="257">
        <f>VLOOKUP(G10,'Maturity Rating'!A$2:B$5,2,FALSE)</f>
        <v>3</v>
      </c>
      <c r="T10" s="257">
        <f>VLOOKUP(H10,'Maturity Rating'!A$8:B$11,2,FALSE)</f>
        <v>3</v>
      </c>
      <c r="U10" s="257">
        <f>VLOOKUP(I10,'Maturity Rating'!A$14:B$17,2,FALSE)</f>
        <v>3</v>
      </c>
      <c r="V10" s="257">
        <f>VLOOKUP(J10,'Maturity Rating'!A$20:B$23,2,FALSE)</f>
        <v>3</v>
      </c>
      <c r="W10" s="24" t="str">
        <f t="shared" si="1"/>
        <v>3333</v>
      </c>
    </row>
    <row r="11" spans="1:24" ht="29">
      <c r="A11" s="3">
        <v>10.8</v>
      </c>
      <c r="B11" s="345"/>
      <c r="C11" s="365"/>
      <c r="D11" s="257"/>
      <c r="E11" s="266" t="s">
        <v>378</v>
      </c>
      <c r="F11" s="257" t="s">
        <v>379</v>
      </c>
      <c r="G11" s="79" t="s">
        <v>90</v>
      </c>
      <c r="H11" s="263" t="s">
        <v>125</v>
      </c>
      <c r="I11" s="263" t="s">
        <v>206</v>
      </c>
      <c r="J11" s="263" t="s">
        <v>464</v>
      </c>
      <c r="K11" s="271">
        <f t="shared" si="0"/>
        <v>1.75</v>
      </c>
      <c r="L11" s="271">
        <f>IF(AND(D11="K",K11=1),'Maturity Rating'!$E$8,IF(K11="NA",K11,IF(D11="K",K11*'Maturity Rating'!$E$7,K11)))</f>
        <v>1.75</v>
      </c>
      <c r="M11" s="339"/>
      <c r="N11" s="339"/>
      <c r="O11" s="361"/>
      <c r="P11" s="21"/>
      <c r="Q11" s="244"/>
      <c r="S11" s="257">
        <f>VLOOKUP(G11,'Maturity Rating'!A$2:B$5,2,FALSE)</f>
        <v>2</v>
      </c>
      <c r="T11" s="257">
        <f>VLOOKUP(H11,'Maturity Rating'!A$8:B$11,2,FALSE)</f>
        <v>2</v>
      </c>
      <c r="U11" s="257">
        <f>VLOOKUP(I11,'Maturity Rating'!A$14:B$17,2,FALSE)</f>
        <v>1</v>
      </c>
      <c r="V11" s="257">
        <f>VLOOKUP(J11,'Maturity Rating'!A$20:B$23,2,FALSE)</f>
        <v>2</v>
      </c>
      <c r="W11" s="24" t="str">
        <f t="shared" si="1"/>
        <v>2212</v>
      </c>
    </row>
    <row r="12" spans="1:24" ht="29">
      <c r="A12" s="3">
        <v>10.9</v>
      </c>
      <c r="B12" s="345"/>
      <c r="C12" s="365"/>
      <c r="D12" s="257"/>
      <c r="E12" s="266" t="s">
        <v>380</v>
      </c>
      <c r="F12" s="257" t="s">
        <v>89</v>
      </c>
      <c r="G12" s="79" t="s">
        <v>118</v>
      </c>
      <c r="H12" s="257" t="s">
        <v>125</v>
      </c>
      <c r="I12" s="263" t="s">
        <v>120</v>
      </c>
      <c r="J12" s="263" t="s">
        <v>129</v>
      </c>
      <c r="K12" s="271">
        <f t="shared" si="0"/>
        <v>2.75</v>
      </c>
      <c r="L12" s="271">
        <f>IF(AND(D12="K",K12=1),'Maturity Rating'!$E$8,IF(K12="NA",K12,IF(D12="K",K12*'Maturity Rating'!$E$7,K12)))</f>
        <v>2.75</v>
      </c>
      <c r="M12" s="339"/>
      <c r="N12" s="339"/>
      <c r="O12" s="361"/>
      <c r="P12" s="21"/>
      <c r="Q12" s="244"/>
      <c r="S12" s="257">
        <f>VLOOKUP(G12,'Maturity Rating'!A$2:B$5,2,FALSE)</f>
        <v>3</v>
      </c>
      <c r="T12" s="257">
        <f>VLOOKUP(H12,'Maturity Rating'!A$8:B$11,2,FALSE)</f>
        <v>2</v>
      </c>
      <c r="U12" s="257">
        <f>VLOOKUP(I12,'Maturity Rating'!A$14:B$17,2,FALSE)</f>
        <v>3</v>
      </c>
      <c r="V12" s="257">
        <f>VLOOKUP(J12,'Maturity Rating'!A$20:B$23,2,FALSE)</f>
        <v>3</v>
      </c>
      <c r="W12" s="24" t="str">
        <f t="shared" si="1"/>
        <v>3233</v>
      </c>
    </row>
    <row r="13" spans="1:24" ht="27" customHeight="1">
      <c r="A13" s="3" t="s">
        <v>381</v>
      </c>
      <c r="B13" s="345"/>
      <c r="C13" s="365"/>
      <c r="D13" s="257"/>
      <c r="E13" s="266" t="s">
        <v>382</v>
      </c>
      <c r="F13" s="257" t="s">
        <v>105</v>
      </c>
      <c r="G13" s="79" t="s">
        <v>118</v>
      </c>
      <c r="H13" s="257" t="s">
        <v>100</v>
      </c>
      <c r="I13" s="263" t="s">
        <v>120</v>
      </c>
      <c r="J13" s="263" t="s">
        <v>129</v>
      </c>
      <c r="K13" s="271">
        <f t="shared" si="0"/>
        <v>3</v>
      </c>
      <c r="L13" s="271">
        <f>IF(AND(D13="K",K13=1),'Maturity Rating'!$E$8,IF(K13="NA",K13,IF(D13="K",K13*'Maturity Rating'!$E$7,K13)))</f>
        <v>3</v>
      </c>
      <c r="M13" s="339"/>
      <c r="N13" s="339"/>
      <c r="O13" s="361"/>
      <c r="P13" s="21"/>
      <c r="Q13" s="244"/>
      <c r="S13" s="257">
        <f>VLOOKUP(G13,'Maturity Rating'!A$2:B$5,2,FALSE)</f>
        <v>3</v>
      </c>
      <c r="T13" s="257">
        <f>VLOOKUP(H13,'Maturity Rating'!A$8:B$11,2,FALSE)</f>
        <v>3</v>
      </c>
      <c r="U13" s="257">
        <f>VLOOKUP(I13,'Maturity Rating'!A$14:B$17,2,FALSE)</f>
        <v>3</v>
      </c>
      <c r="V13" s="257">
        <f>VLOOKUP(J13,'Maturity Rating'!A$20:B$23,2,FALSE)</f>
        <v>3</v>
      </c>
      <c r="W13" s="24" t="str">
        <f t="shared" si="1"/>
        <v>3333</v>
      </c>
    </row>
    <row r="14" spans="1:24" ht="29">
      <c r="A14" s="3">
        <v>10.119999999999999</v>
      </c>
      <c r="B14" s="345"/>
      <c r="C14" s="365"/>
      <c r="D14" s="257"/>
      <c r="E14" s="266" t="s">
        <v>383</v>
      </c>
      <c r="F14" s="257" t="s">
        <v>89</v>
      </c>
      <c r="G14" s="79" t="s">
        <v>127</v>
      </c>
      <c r="H14" s="257" t="s">
        <v>95</v>
      </c>
      <c r="I14" s="257" t="s">
        <v>206</v>
      </c>
      <c r="J14" s="263" t="s">
        <v>102</v>
      </c>
      <c r="K14" s="271">
        <f t="shared" si="0"/>
        <v>1</v>
      </c>
      <c r="L14" s="271">
        <f>IF(AND(D14="K",K14=1),'Maturity Rating'!$E$8,IF(K14="NA",K14,IF(D14="K",K14*'Maturity Rating'!$E$7,K14)))</f>
        <v>1</v>
      </c>
      <c r="M14" s="339"/>
      <c r="N14" s="339"/>
      <c r="O14" s="361"/>
      <c r="P14" s="21"/>
      <c r="Q14" s="244"/>
      <c r="S14" s="257">
        <f>VLOOKUP(G14,'Maturity Rating'!A$2:B$5,2,FALSE)</f>
        <v>1</v>
      </c>
      <c r="T14" s="257">
        <f>VLOOKUP(H14,'Maturity Rating'!A$8:B$11,2,FALSE)</f>
        <v>1</v>
      </c>
      <c r="U14" s="257">
        <f>VLOOKUP(I14,'Maturity Rating'!A$14:B$17,2,FALSE)</f>
        <v>1</v>
      </c>
      <c r="V14" s="257">
        <f>VLOOKUP(J14,'Maturity Rating'!A$20:B$23,2,FALSE)</f>
        <v>1</v>
      </c>
      <c r="W14" s="24" t="str">
        <f t="shared" si="1"/>
        <v>1111</v>
      </c>
    </row>
    <row r="15" spans="1:24" ht="58">
      <c r="A15" s="3">
        <v>10.130000000000001</v>
      </c>
      <c r="B15" s="345"/>
      <c r="C15" s="365"/>
      <c r="D15" s="257"/>
      <c r="E15" s="266" t="s">
        <v>384</v>
      </c>
      <c r="F15" s="257" t="s">
        <v>89</v>
      </c>
      <c r="G15" s="79" t="s">
        <v>118</v>
      </c>
      <c r="H15" s="257" t="s">
        <v>100</v>
      </c>
      <c r="I15" s="257" t="s">
        <v>120</v>
      </c>
      <c r="J15" s="263" t="s">
        <v>129</v>
      </c>
      <c r="K15" s="271">
        <f t="shared" si="0"/>
        <v>3</v>
      </c>
      <c r="L15" s="271">
        <f>IF(AND(D15="K",K15=1),'Maturity Rating'!$E$8,IF(K15="NA",K15,IF(D15="K",K15*'Maturity Rating'!$E$7,K15)))</f>
        <v>3</v>
      </c>
      <c r="M15" s="339"/>
      <c r="N15" s="339"/>
      <c r="O15" s="361"/>
      <c r="P15" s="21"/>
      <c r="Q15" s="244"/>
      <c r="S15" s="257">
        <f>VLOOKUP(G15,'Maturity Rating'!A$2:B$5,2,FALSE)</f>
        <v>3</v>
      </c>
      <c r="T15" s="257">
        <f>VLOOKUP(H15,'Maturity Rating'!A$8:B$11,2,FALSE)</f>
        <v>3</v>
      </c>
      <c r="U15" s="257">
        <f>VLOOKUP(I15,'Maturity Rating'!A$14:B$17,2,FALSE)</f>
        <v>3</v>
      </c>
      <c r="V15" s="257">
        <f>VLOOKUP(J15,'Maturity Rating'!A$20:B$23,2,FALSE)</f>
        <v>3</v>
      </c>
      <c r="W15" s="24" t="str">
        <f t="shared" si="1"/>
        <v>3333</v>
      </c>
    </row>
    <row r="16" spans="1:24" ht="30" customHeight="1">
      <c r="A16" s="3">
        <v>10.14</v>
      </c>
      <c r="B16" s="345"/>
      <c r="C16" s="365"/>
      <c r="D16" s="257"/>
      <c r="E16" s="266" t="s">
        <v>385</v>
      </c>
      <c r="F16" s="257" t="s">
        <v>105</v>
      </c>
      <c r="G16" s="79" t="s">
        <v>127</v>
      </c>
      <c r="H16" s="257" t="s">
        <v>95</v>
      </c>
      <c r="I16" s="55" t="s">
        <v>206</v>
      </c>
      <c r="J16" s="263" t="s">
        <v>102</v>
      </c>
      <c r="K16" s="273">
        <f t="shared" si="0"/>
        <v>1</v>
      </c>
      <c r="L16" s="271">
        <f>IF(AND(D16="K",K16=1),'Maturity Rating'!$E$8,IF(K16="NA",K16,IF(D16="K",K16*'Maturity Rating'!$E$7,K16)))</f>
        <v>1</v>
      </c>
      <c r="M16" s="339"/>
      <c r="N16" s="339"/>
      <c r="O16" s="361"/>
      <c r="P16" s="21"/>
      <c r="Q16" s="244"/>
      <c r="S16" s="257">
        <f>VLOOKUP(G16,'Maturity Rating'!A$2:B$5,2,FALSE)</f>
        <v>1</v>
      </c>
      <c r="T16" s="257">
        <f>VLOOKUP(H16,'Maturity Rating'!A$8:B$11,2,FALSE)</f>
        <v>1</v>
      </c>
      <c r="U16" s="257">
        <f>VLOOKUP(I16,'Maturity Rating'!A$14:B$17,2,FALSE)</f>
        <v>1</v>
      </c>
      <c r="V16" s="257">
        <f>VLOOKUP(J16,'Maturity Rating'!A$20:B$23,2,FALSE)</f>
        <v>1</v>
      </c>
      <c r="W16" s="24" t="str">
        <f t="shared" si="1"/>
        <v>1111</v>
      </c>
    </row>
    <row r="17" spans="1:24" ht="30" customHeight="1">
      <c r="A17" s="111">
        <v>10.15</v>
      </c>
      <c r="B17" s="346"/>
      <c r="C17" s="366"/>
      <c r="D17" s="258"/>
      <c r="E17" s="267" t="s">
        <v>386</v>
      </c>
      <c r="F17" s="257" t="s">
        <v>105</v>
      </c>
      <c r="G17" s="79" t="s">
        <v>127</v>
      </c>
      <c r="H17" s="257" t="s">
        <v>95</v>
      </c>
      <c r="I17" s="55" t="s">
        <v>206</v>
      </c>
      <c r="J17" s="257" t="s">
        <v>102</v>
      </c>
      <c r="K17" s="273">
        <f t="shared" ref="K17" si="2">IF(W17="NANANANA",S17,IF(AND(OR(G17="Formally Documented",G17="Informally Documented"),H17="Not Implemented"),0.5*AVERAGE(S17:V17),AVERAGE(S17:V17)))</f>
        <v>1</v>
      </c>
      <c r="L17" s="271">
        <f>IF(AND(D17="K",K17=1),'Maturity Rating'!$E$8,IF(K17="NA",K17,IF(D17="K",K17*'Maturity Rating'!$E$7,K17)))</f>
        <v>1</v>
      </c>
      <c r="M17" s="339"/>
      <c r="N17" s="339"/>
      <c r="O17" s="361"/>
      <c r="P17" s="21"/>
      <c r="Q17" s="244"/>
      <c r="S17" s="257">
        <f>VLOOKUP(G17,'Maturity Rating'!A$2:B$5,2,FALSE)</f>
        <v>1</v>
      </c>
      <c r="T17" s="257">
        <f>VLOOKUP(H17,'Maturity Rating'!A$8:B$11,2,FALSE)</f>
        <v>1</v>
      </c>
      <c r="U17" s="257">
        <f>VLOOKUP(I17,'Maturity Rating'!A$14:B$17,2,FALSE)</f>
        <v>1</v>
      </c>
      <c r="V17" s="257">
        <f>VLOOKUP(J17,'Maturity Rating'!A$20:B$23,2,FALSE)</f>
        <v>1</v>
      </c>
      <c r="W17" s="24" t="str">
        <f t="shared" ref="W17" si="3">CONCATENATE(S17,T17,U17,V17)</f>
        <v>1111</v>
      </c>
    </row>
    <row r="18" spans="1:24" ht="30.75" customHeight="1" thickBot="1">
      <c r="A18" s="2">
        <v>10.16</v>
      </c>
      <c r="B18" s="346"/>
      <c r="C18" s="366"/>
      <c r="D18" s="258" t="s">
        <v>87</v>
      </c>
      <c r="E18" s="146" t="s">
        <v>387</v>
      </c>
      <c r="F18" s="258" t="s">
        <v>89</v>
      </c>
      <c r="G18" s="259" t="s">
        <v>118</v>
      </c>
      <c r="H18" s="259" t="s">
        <v>100</v>
      </c>
      <c r="I18" s="259" t="s">
        <v>120</v>
      </c>
      <c r="J18" s="259" t="s">
        <v>129</v>
      </c>
      <c r="K18" s="272">
        <f t="shared" si="0"/>
        <v>3</v>
      </c>
      <c r="L18" s="270">
        <f>IF(AND(D18="K",K18=1),'Maturity Rating'!$E$8,IF(K18="NA",K18,IF(D18="K",K18*'Maturity Rating'!$E$7,K18)))</f>
        <v>3.5999999999999996</v>
      </c>
      <c r="M18" s="340"/>
      <c r="N18" s="340"/>
      <c r="O18" s="362"/>
      <c r="P18" s="21"/>
      <c r="Q18" s="244"/>
      <c r="S18" s="257">
        <f>VLOOKUP(G18,'Maturity Rating'!A$2:B$5,2,FALSE)</f>
        <v>3</v>
      </c>
      <c r="T18" s="257">
        <f>VLOOKUP(H18,'Maturity Rating'!A$8:B$11,2,FALSE)</f>
        <v>3</v>
      </c>
      <c r="U18" s="257">
        <f>VLOOKUP(I18,'Maturity Rating'!A$14:B$17,2,FALSE)</f>
        <v>3</v>
      </c>
      <c r="V18" s="257">
        <f>VLOOKUP(J18,'Maturity Rating'!A$20:B$23,2,FALSE)</f>
        <v>3</v>
      </c>
      <c r="W18" s="24" t="str">
        <f t="shared" si="1"/>
        <v>3333</v>
      </c>
    </row>
    <row r="19" spans="1:24" ht="38.5" customHeight="1">
      <c r="A19" s="107">
        <v>10.17</v>
      </c>
      <c r="B19" s="359" t="s">
        <v>388</v>
      </c>
      <c r="C19" s="368" t="s">
        <v>389</v>
      </c>
      <c r="D19" s="256"/>
      <c r="E19" s="277" t="s">
        <v>390</v>
      </c>
      <c r="F19" s="256" t="s">
        <v>89</v>
      </c>
      <c r="G19" s="79" t="s">
        <v>127</v>
      </c>
      <c r="H19" s="263" t="s">
        <v>125</v>
      </c>
      <c r="I19" s="263" t="s">
        <v>120</v>
      </c>
      <c r="J19" s="87" t="s">
        <v>102</v>
      </c>
      <c r="K19" s="271">
        <f t="shared" si="0"/>
        <v>1.75</v>
      </c>
      <c r="L19" s="269">
        <f>IF(AND(D19="K",K19=1),'Maturity Rating'!$E$8,IF(K19="NA",K19,IF(D19="K",K19*'Maturity Rating'!$E$7,K19)))</f>
        <v>1.75</v>
      </c>
      <c r="M19" s="338">
        <f>IF(X19="NANANANANANANANA",K19,AVERAGE(L19:L26))</f>
        <v>1.6770833333333335</v>
      </c>
      <c r="N19" s="338">
        <f>IF(M19&lt;1.1,1,IF(M19="NA",M19,(MIN(5,M19/3*5))))</f>
        <v>2.7951388888888888</v>
      </c>
      <c r="O19" s="363" t="str">
        <f>IF(N19="NA",N19,VLOOKUP(Q19,'Maturity Rating'!G4:H8,2,FALSE))</f>
        <v>Partial</v>
      </c>
      <c r="P19" s="21"/>
      <c r="Q19" s="244">
        <f>IF(N19="NA",N19,ROUNDDOWN(N19,0))</f>
        <v>2</v>
      </c>
      <c r="S19" s="257">
        <f>VLOOKUP(G19,'Maturity Rating'!A$2:B$5,2,FALSE)</f>
        <v>1</v>
      </c>
      <c r="T19" s="257">
        <f>VLOOKUP(H19,'Maturity Rating'!A$8:B$11,2,FALSE)</f>
        <v>2</v>
      </c>
      <c r="U19" s="257">
        <f>VLOOKUP(I19,'Maturity Rating'!A$14:B$17,2,FALSE)</f>
        <v>3</v>
      </c>
      <c r="V19" s="257">
        <f>VLOOKUP(J19,'Maturity Rating'!A$20:B$23,2,FALSE)</f>
        <v>1</v>
      </c>
      <c r="W19" s="24" t="str">
        <f t="shared" si="1"/>
        <v>1231</v>
      </c>
      <c r="X19" s="24" t="str">
        <f>CONCATENATE(L19,L20,L21,L22,L23,L24,L25,L26)</f>
        <v>1.751.752.2511.333333333333332.3333333333333321</v>
      </c>
    </row>
    <row r="20" spans="1:24" ht="29">
      <c r="A20" s="3">
        <v>10.18</v>
      </c>
      <c r="B20" s="345"/>
      <c r="C20" s="365"/>
      <c r="D20" s="257"/>
      <c r="E20" s="266" t="s">
        <v>391</v>
      </c>
      <c r="F20" s="257" t="s">
        <v>89</v>
      </c>
      <c r="G20" s="79" t="s">
        <v>127</v>
      </c>
      <c r="H20" s="257" t="s">
        <v>125</v>
      </c>
      <c r="I20" s="257" t="s">
        <v>120</v>
      </c>
      <c r="J20" s="79" t="s">
        <v>102</v>
      </c>
      <c r="K20" s="271">
        <f t="shared" si="0"/>
        <v>1.75</v>
      </c>
      <c r="L20" s="269">
        <f>IF(AND(D20="K",K20=1),'Maturity Rating'!$E$8,IF(K20="NA",K20,IF(D20="K",K20*'Maturity Rating'!$E$7,K20)))</f>
        <v>1.75</v>
      </c>
      <c r="M20" s="339"/>
      <c r="N20" s="339"/>
      <c r="O20" s="361"/>
      <c r="P20" s="21"/>
      <c r="Q20" s="244"/>
      <c r="S20" s="257">
        <f>VLOOKUP(G20,'Maturity Rating'!A$2:B$5,2,FALSE)</f>
        <v>1</v>
      </c>
      <c r="T20" s="257">
        <f>VLOOKUP(H20,'Maturity Rating'!A$8:B$11,2,FALSE)</f>
        <v>2</v>
      </c>
      <c r="U20" s="257">
        <f>VLOOKUP(I20,'Maturity Rating'!A$14:B$17,2,FALSE)</f>
        <v>3</v>
      </c>
      <c r="V20" s="257">
        <f>VLOOKUP(J20,'Maturity Rating'!A$20:B$23,2,FALSE)</f>
        <v>1</v>
      </c>
      <c r="W20" s="24" t="str">
        <f t="shared" si="1"/>
        <v>1231</v>
      </c>
    </row>
    <row r="21" spans="1:24">
      <c r="A21" s="3">
        <v>10.19</v>
      </c>
      <c r="B21" s="345"/>
      <c r="C21" s="365"/>
      <c r="D21" s="257"/>
      <c r="E21" s="266" t="s">
        <v>392</v>
      </c>
      <c r="F21" s="257" t="s">
        <v>89</v>
      </c>
      <c r="G21" s="79" t="s">
        <v>127</v>
      </c>
      <c r="H21" s="257" t="s">
        <v>125</v>
      </c>
      <c r="I21" s="257" t="s">
        <v>120</v>
      </c>
      <c r="J21" s="79" t="s">
        <v>129</v>
      </c>
      <c r="K21" s="271">
        <f t="shared" si="0"/>
        <v>2.25</v>
      </c>
      <c r="L21" s="269">
        <f>IF(AND(D21="K",K21=1),'Maturity Rating'!$E$8,IF(K21="NA",K21,IF(D21="K",K21*'Maturity Rating'!$E$7,K21)))</f>
        <v>2.25</v>
      </c>
      <c r="M21" s="339"/>
      <c r="N21" s="339"/>
      <c r="O21" s="361"/>
      <c r="P21" s="21"/>
      <c r="Q21" s="244"/>
      <c r="S21" s="257">
        <f>VLOOKUP(G21,'Maturity Rating'!A$2:B$5,2,FALSE)</f>
        <v>1</v>
      </c>
      <c r="T21" s="257">
        <f>VLOOKUP(H21,'Maturity Rating'!A$8:B$11,2,FALSE)</f>
        <v>2</v>
      </c>
      <c r="U21" s="257">
        <f>VLOOKUP(I21,'Maturity Rating'!A$14:B$17,2,FALSE)</f>
        <v>3</v>
      </c>
      <c r="V21" s="257">
        <f>VLOOKUP(J21,'Maturity Rating'!A$20:B$23,2,FALSE)</f>
        <v>3</v>
      </c>
      <c r="W21" s="24" t="str">
        <f t="shared" si="1"/>
        <v>1233</v>
      </c>
    </row>
    <row r="22" spans="1:24" ht="29">
      <c r="A22" s="3" t="s">
        <v>393</v>
      </c>
      <c r="B22" s="345"/>
      <c r="C22" s="365"/>
      <c r="D22" s="257"/>
      <c r="E22" s="266" t="s">
        <v>394</v>
      </c>
      <c r="F22" s="257" t="s">
        <v>105</v>
      </c>
      <c r="G22" s="79" t="s">
        <v>127</v>
      </c>
      <c r="H22" s="257" t="s">
        <v>95</v>
      </c>
      <c r="I22" s="257" t="s">
        <v>206</v>
      </c>
      <c r="J22" s="79" t="s">
        <v>102</v>
      </c>
      <c r="K22" s="271">
        <f t="shared" si="0"/>
        <v>1</v>
      </c>
      <c r="L22" s="269">
        <f>IF(AND(D22="K",K22=1),'Maturity Rating'!$E$8,IF(K22="NA",K22,IF(D22="K",K22*'Maturity Rating'!$E$7,K22)))</f>
        <v>1</v>
      </c>
      <c r="M22" s="339"/>
      <c r="N22" s="339"/>
      <c r="O22" s="361"/>
      <c r="Q22" s="244"/>
      <c r="S22" s="257">
        <f>VLOOKUP(G22,'Maturity Rating'!A$2:B$5,2,FALSE)</f>
        <v>1</v>
      </c>
      <c r="T22" s="257">
        <f>VLOOKUP(H22,'Maturity Rating'!A$8:B$11,2,FALSE)</f>
        <v>1</v>
      </c>
      <c r="U22" s="257">
        <f>VLOOKUP(I22,'Maturity Rating'!A$14:B$17,2,FALSE)</f>
        <v>1</v>
      </c>
      <c r="V22" s="257">
        <f>VLOOKUP(J22,'Maturity Rating'!A$20:B$23,2,FALSE)</f>
        <v>1</v>
      </c>
      <c r="W22" s="24" t="str">
        <f t="shared" si="1"/>
        <v>1111</v>
      </c>
    </row>
    <row r="23" spans="1:24" ht="29">
      <c r="A23" s="3">
        <v>10.210000000000001</v>
      </c>
      <c r="B23" s="345"/>
      <c r="C23" s="365"/>
      <c r="D23" s="257"/>
      <c r="E23" s="28" t="s">
        <v>395</v>
      </c>
      <c r="F23" s="180" t="s">
        <v>89</v>
      </c>
      <c r="G23" s="79" t="s">
        <v>127</v>
      </c>
      <c r="H23" s="257" t="s">
        <v>125</v>
      </c>
      <c r="I23" s="257" t="s">
        <v>91</v>
      </c>
      <c r="J23" s="79" t="s">
        <v>102</v>
      </c>
      <c r="K23" s="271">
        <f t="shared" si="0"/>
        <v>1.3333333333333333</v>
      </c>
      <c r="L23" s="269">
        <f>IF(AND(D23="K",K23=1),'Maturity Rating'!$E$8,IF(K23="NA",K23,IF(D23="K",K23*'Maturity Rating'!$E$7,K23)))</f>
        <v>1.3333333333333333</v>
      </c>
      <c r="M23" s="339"/>
      <c r="N23" s="339"/>
      <c r="O23" s="361"/>
      <c r="Q23" s="244"/>
      <c r="S23" s="257">
        <f>VLOOKUP(G23,'Maturity Rating'!A$2:B$5,2,FALSE)</f>
        <v>1</v>
      </c>
      <c r="T23" s="257">
        <f>VLOOKUP(H23,'Maturity Rating'!A$8:B$11,2,FALSE)</f>
        <v>2</v>
      </c>
      <c r="U23" s="257" t="str">
        <f>VLOOKUP(I23,'Maturity Rating'!A$14:B$17,2,FALSE)</f>
        <v>NA</v>
      </c>
      <c r="V23" s="257">
        <f>VLOOKUP(J23,'Maturity Rating'!A$20:B$23,2,FALSE)</f>
        <v>1</v>
      </c>
      <c r="W23" s="24" t="str">
        <f t="shared" si="1"/>
        <v>12NA1</v>
      </c>
    </row>
    <row r="24" spans="1:24" ht="29">
      <c r="A24" s="3">
        <v>10.220000000000001</v>
      </c>
      <c r="B24" s="345"/>
      <c r="C24" s="365"/>
      <c r="D24" s="257"/>
      <c r="E24" s="28" t="s">
        <v>396</v>
      </c>
      <c r="F24" s="180" t="s">
        <v>89</v>
      </c>
      <c r="G24" s="79" t="s">
        <v>127</v>
      </c>
      <c r="H24" s="257" t="s">
        <v>100</v>
      </c>
      <c r="I24" s="257" t="s">
        <v>91</v>
      </c>
      <c r="J24" s="79" t="s">
        <v>129</v>
      </c>
      <c r="K24" s="271">
        <f t="shared" si="0"/>
        <v>2.3333333333333335</v>
      </c>
      <c r="L24" s="269">
        <f>IF(AND(D24="K",K24=1),'Maturity Rating'!$E$8,IF(K24="NA",K24,IF(D24="K",K24*'Maturity Rating'!$E$7,K24)))</f>
        <v>2.3333333333333335</v>
      </c>
      <c r="M24" s="339"/>
      <c r="N24" s="339"/>
      <c r="O24" s="361"/>
      <c r="Q24" s="244"/>
      <c r="S24" s="257">
        <f>VLOOKUP(G24,'Maturity Rating'!A$2:B$5,2,FALSE)</f>
        <v>1</v>
      </c>
      <c r="T24" s="257">
        <f>VLOOKUP(H24,'Maturity Rating'!A$8:B$11,2,FALSE)</f>
        <v>3</v>
      </c>
      <c r="U24" s="257" t="str">
        <f>VLOOKUP(I24,'Maturity Rating'!A$14:B$17,2,FALSE)</f>
        <v>NA</v>
      </c>
      <c r="V24" s="257">
        <f>VLOOKUP(J24,'Maturity Rating'!A$20:B$23,2,FALSE)</f>
        <v>3</v>
      </c>
      <c r="W24" s="24" t="str">
        <f t="shared" si="1"/>
        <v>13NA3</v>
      </c>
    </row>
    <row r="25" spans="1:24">
      <c r="A25" s="3">
        <v>10.23</v>
      </c>
      <c r="B25" s="345"/>
      <c r="C25" s="365"/>
      <c r="D25" s="257"/>
      <c r="E25" s="28" t="s">
        <v>397</v>
      </c>
      <c r="F25" s="180" t="s">
        <v>89</v>
      </c>
      <c r="G25" s="79" t="s">
        <v>127</v>
      </c>
      <c r="H25" s="257" t="s">
        <v>100</v>
      </c>
      <c r="I25" s="257" t="s">
        <v>206</v>
      </c>
      <c r="J25" s="79" t="s">
        <v>129</v>
      </c>
      <c r="K25" s="271">
        <f t="shared" si="0"/>
        <v>2</v>
      </c>
      <c r="L25" s="269">
        <f>IF(AND(D25="K",K25=1),'Maturity Rating'!$E$8,IF(K25="NA",K25,IF(D25="K",K25*'Maturity Rating'!$E$7,K25)))</f>
        <v>2</v>
      </c>
      <c r="M25" s="339"/>
      <c r="N25" s="339"/>
      <c r="O25" s="361"/>
      <c r="Q25" s="244"/>
      <c r="S25" s="257">
        <f>VLOOKUP(G25,'Maturity Rating'!A$2:B$5,2,FALSE)</f>
        <v>1</v>
      </c>
      <c r="T25" s="257">
        <f>VLOOKUP(H25,'Maturity Rating'!A$8:B$11,2,FALSE)</f>
        <v>3</v>
      </c>
      <c r="U25" s="257">
        <f>VLOOKUP(I25,'Maturity Rating'!A$14:B$17,2,FALSE)</f>
        <v>1</v>
      </c>
      <c r="V25" s="257">
        <f>VLOOKUP(J25,'Maturity Rating'!A$20:B$23,2,FALSE)</f>
        <v>3</v>
      </c>
      <c r="W25" s="24" t="str">
        <f t="shared" si="1"/>
        <v>1313</v>
      </c>
    </row>
    <row r="26" spans="1:24" ht="29.5" thickBot="1">
      <c r="A26" s="2">
        <v>10.24</v>
      </c>
      <c r="B26" s="347"/>
      <c r="C26" s="367"/>
      <c r="D26" s="259"/>
      <c r="E26" s="268" t="s">
        <v>398</v>
      </c>
      <c r="F26" s="259" t="s">
        <v>105</v>
      </c>
      <c r="G26" s="259" t="s">
        <v>127</v>
      </c>
      <c r="H26" s="259" t="s">
        <v>95</v>
      </c>
      <c r="I26" s="259" t="s">
        <v>206</v>
      </c>
      <c r="J26" s="259" t="s">
        <v>102</v>
      </c>
      <c r="K26" s="272">
        <f t="shared" si="0"/>
        <v>1</v>
      </c>
      <c r="L26" s="272">
        <f>IF(AND(D26="K",K26=1),'Maturity Rating'!$E$8,IF(K26="NA",K26,IF(D26="K",K26*'Maturity Rating'!$E$7,K26)))</f>
        <v>1</v>
      </c>
      <c r="M26" s="340"/>
      <c r="N26" s="340"/>
      <c r="O26" s="362"/>
      <c r="S26" s="257">
        <f>VLOOKUP(G26,'Maturity Rating'!A$2:B$5,2,FALSE)</f>
        <v>1</v>
      </c>
      <c r="T26" s="257">
        <f>VLOOKUP(H26,'Maturity Rating'!A$8:B$11,2,FALSE)</f>
        <v>1</v>
      </c>
      <c r="U26" s="257">
        <f>VLOOKUP(I26,'Maturity Rating'!A$14:B$17,2,FALSE)</f>
        <v>1</v>
      </c>
      <c r="V26" s="257">
        <f>VLOOKUP(J26,'Maturity Rating'!A$20:B$23,2,FALSE)</f>
        <v>1</v>
      </c>
      <c r="W26" s="24" t="str">
        <f t="shared" si="1"/>
        <v>1111</v>
      </c>
    </row>
    <row r="27" spans="1:24" ht="30" customHeight="1">
      <c r="A27" s="107">
        <v>10.25</v>
      </c>
      <c r="B27" s="359" t="s">
        <v>399</v>
      </c>
      <c r="C27" s="368" t="s">
        <v>400</v>
      </c>
      <c r="D27" s="256"/>
      <c r="E27" s="277" t="s">
        <v>401</v>
      </c>
      <c r="F27" s="256" t="s">
        <v>89</v>
      </c>
      <c r="G27" s="79" t="s">
        <v>127</v>
      </c>
      <c r="H27" s="256" t="s">
        <v>100</v>
      </c>
      <c r="I27" s="256" t="s">
        <v>91</v>
      </c>
      <c r="J27" s="256" t="s">
        <v>129</v>
      </c>
      <c r="K27" s="278">
        <f t="shared" si="0"/>
        <v>2.3333333333333335</v>
      </c>
      <c r="L27" s="278">
        <f>IF(AND(D27="K",K27=1),'Maturity Rating'!$E$8,IF(K27="NA",K27,IF(D27="K",K27*'Maturity Rating'!$E$7,K27)))</f>
        <v>2.3333333333333335</v>
      </c>
      <c r="M27" s="338">
        <f>IF(X27="NANANANANANANANANANA",K27,AVERAGE(L27:L33))</f>
        <v>1.8380952380952382</v>
      </c>
      <c r="N27" s="338">
        <f>IF(M27&lt;1.1,1,IF(M27="NA",M27,(MIN(5,M27/3*5))))</f>
        <v>3.0634920634920637</v>
      </c>
      <c r="O27" s="363" t="str">
        <f>IF(N19="NA",N19,VLOOKUP(Q19,'Maturity Rating'!G4:H8,2,FALSE))</f>
        <v>Partial</v>
      </c>
      <c r="Q27" s="244">
        <f>IF(N27="NA",N27,ROUNDDOWN(N27,0))</f>
        <v>3</v>
      </c>
      <c r="S27" s="257">
        <f>VLOOKUP(G27,'Maturity Rating'!A$2:B$5,2,FALSE)</f>
        <v>1</v>
      </c>
      <c r="T27" s="257">
        <f>VLOOKUP(H27,'Maturity Rating'!A$8:B$11,2,FALSE)</f>
        <v>3</v>
      </c>
      <c r="U27" s="257" t="str">
        <f>VLOOKUP(I27,'Maturity Rating'!A$14:B$17,2,FALSE)</f>
        <v>NA</v>
      </c>
      <c r="V27" s="257">
        <f>VLOOKUP(J27,'Maturity Rating'!A$20:B$23,2,FALSE)</f>
        <v>3</v>
      </c>
      <c r="W27" s="24" t="str">
        <f t="shared" si="1"/>
        <v>13NA3</v>
      </c>
      <c r="X27" s="24" t="str">
        <f>CONCATENATE(L27,L28,L29,L30,L31,L32,L33)</f>
        <v>2.3333333333333312.3333333333333311.252.252.7</v>
      </c>
    </row>
    <row r="28" spans="1:24" ht="29">
      <c r="A28" s="3">
        <v>10.26</v>
      </c>
      <c r="B28" s="345"/>
      <c r="C28" s="365"/>
      <c r="D28" s="257"/>
      <c r="E28" s="266" t="s">
        <v>402</v>
      </c>
      <c r="F28" s="257" t="s">
        <v>89</v>
      </c>
      <c r="G28" s="79" t="s">
        <v>127</v>
      </c>
      <c r="H28" s="257" t="s">
        <v>95</v>
      </c>
      <c r="I28" s="257" t="s">
        <v>91</v>
      </c>
      <c r="J28" s="257" t="s">
        <v>102</v>
      </c>
      <c r="K28" s="271">
        <f t="shared" si="0"/>
        <v>1</v>
      </c>
      <c r="L28" s="273">
        <f>IF(AND(D28="K",K28=1),'Maturity Rating'!$E$8,IF(K28="NA",K28,IF(D28="K",K28*'Maturity Rating'!$E$7,K28)))</f>
        <v>1</v>
      </c>
      <c r="M28" s="339"/>
      <c r="N28" s="339"/>
      <c r="O28" s="361"/>
      <c r="S28" s="257">
        <f>VLOOKUP(G28,'Maturity Rating'!A$2:B$5,2,FALSE)</f>
        <v>1</v>
      </c>
      <c r="T28" s="257">
        <f>VLOOKUP(H28,'Maturity Rating'!A$8:B$11,2,FALSE)</f>
        <v>1</v>
      </c>
      <c r="U28" s="257" t="str">
        <f>VLOOKUP(I28,'Maturity Rating'!A$14:B$17,2,FALSE)</f>
        <v>NA</v>
      </c>
      <c r="V28" s="257">
        <f>VLOOKUP(J28,'Maturity Rating'!A$20:B$23,2,FALSE)</f>
        <v>1</v>
      </c>
      <c r="W28" s="24" t="str">
        <f t="shared" si="1"/>
        <v>11NA1</v>
      </c>
    </row>
    <row r="29" spans="1:24" ht="29">
      <c r="A29" s="3">
        <v>10.27</v>
      </c>
      <c r="B29" s="345"/>
      <c r="C29" s="365"/>
      <c r="D29" s="257"/>
      <c r="E29" s="28" t="s">
        <v>403</v>
      </c>
      <c r="F29" s="257" t="s">
        <v>89</v>
      </c>
      <c r="G29" s="79" t="s">
        <v>127</v>
      </c>
      <c r="H29" s="257" t="s">
        <v>100</v>
      </c>
      <c r="I29" s="257" t="s">
        <v>91</v>
      </c>
      <c r="J29" s="257" t="s">
        <v>129</v>
      </c>
      <c r="K29" s="271">
        <f t="shared" si="0"/>
        <v>2.3333333333333335</v>
      </c>
      <c r="L29" s="273">
        <f>IF(AND(D29="K",K29=1),'Maturity Rating'!$E$8,IF(K29="NA",K29,IF(D29="K",K29*'Maturity Rating'!$E$7,K29)))</f>
        <v>2.3333333333333335</v>
      </c>
      <c r="M29" s="339"/>
      <c r="N29" s="339"/>
      <c r="O29" s="361"/>
      <c r="S29" s="257">
        <f>VLOOKUP(G29,'Maturity Rating'!A$2:B$5,2,FALSE)</f>
        <v>1</v>
      </c>
      <c r="T29" s="257">
        <f>VLOOKUP(H29,'Maturity Rating'!A$8:B$11,2,FALSE)</f>
        <v>3</v>
      </c>
      <c r="U29" s="257" t="str">
        <f>VLOOKUP(I29,'Maturity Rating'!A$14:B$17,2,FALSE)</f>
        <v>NA</v>
      </c>
      <c r="V29" s="257">
        <f>VLOOKUP(J29,'Maturity Rating'!A$20:B$23,2,FALSE)</f>
        <v>3</v>
      </c>
      <c r="W29" s="24" t="str">
        <f t="shared" si="1"/>
        <v>13NA3</v>
      </c>
    </row>
    <row r="30" spans="1:24" ht="29">
      <c r="A30" s="3">
        <v>10.29</v>
      </c>
      <c r="B30" s="345"/>
      <c r="C30" s="365"/>
      <c r="D30" s="257"/>
      <c r="E30" s="132" t="s">
        <v>404</v>
      </c>
      <c r="F30" s="257" t="s">
        <v>89</v>
      </c>
      <c r="G30" s="79" t="s">
        <v>127</v>
      </c>
      <c r="H30" s="257" t="s">
        <v>95</v>
      </c>
      <c r="I30" s="257" t="s">
        <v>206</v>
      </c>
      <c r="J30" s="257" t="s">
        <v>102</v>
      </c>
      <c r="K30" s="271">
        <f t="shared" si="0"/>
        <v>1</v>
      </c>
      <c r="L30" s="273">
        <f>IF(AND(D30="K",K30=1),'Maturity Rating'!$E$8,IF(K30="NA",K30,IF(D30="K",K30*'Maturity Rating'!$E$7,K30)))</f>
        <v>1</v>
      </c>
      <c r="M30" s="339"/>
      <c r="N30" s="339"/>
      <c r="O30" s="361"/>
      <c r="S30" s="257">
        <f>VLOOKUP(G30,'Maturity Rating'!A$2:B$5,2,FALSE)</f>
        <v>1</v>
      </c>
      <c r="T30" s="257">
        <f>VLOOKUP(H30,'Maturity Rating'!A$8:B$11,2,FALSE)</f>
        <v>1</v>
      </c>
      <c r="U30" s="257">
        <f>VLOOKUP(I30,'Maturity Rating'!A$14:B$17,2,FALSE)</f>
        <v>1</v>
      </c>
      <c r="V30" s="257">
        <f>VLOOKUP(J30,'Maturity Rating'!A$20:B$23,2,FALSE)</f>
        <v>1</v>
      </c>
      <c r="W30" s="24" t="str">
        <f t="shared" si="1"/>
        <v>1111</v>
      </c>
    </row>
    <row r="31" spans="1:24" ht="29">
      <c r="A31" s="3" t="s">
        <v>405</v>
      </c>
      <c r="B31" s="345"/>
      <c r="C31" s="365"/>
      <c r="D31" s="257"/>
      <c r="E31" s="132" t="s">
        <v>406</v>
      </c>
      <c r="F31" s="257" t="s">
        <v>89</v>
      </c>
      <c r="G31" s="79" t="s">
        <v>127</v>
      </c>
      <c r="H31" s="257" t="s">
        <v>125</v>
      </c>
      <c r="I31" s="257" t="s">
        <v>206</v>
      </c>
      <c r="J31" s="257" t="s">
        <v>102</v>
      </c>
      <c r="K31" s="271">
        <f t="shared" ref="K31" si="4">IF(W31="NANANANA",S31,IF(AND(OR(G31="Formally Documented",G31="Informally Documented"),H31="Not Implemented"),0.5*AVERAGE(S31:V31),AVERAGE(S31:V31)))</f>
        <v>1.25</v>
      </c>
      <c r="L31" s="273">
        <f>IF(AND(D31="K",K31=1),'Maturity Rating'!$E$8,IF(K31="NA",K31,IF(D31="K",K31*'Maturity Rating'!$E$7,K31)))</f>
        <v>1.25</v>
      </c>
      <c r="M31" s="339"/>
      <c r="N31" s="339"/>
      <c r="O31" s="361"/>
      <c r="S31" s="257">
        <f>VLOOKUP(G31,'Maturity Rating'!A$2:B$5,2,FALSE)</f>
        <v>1</v>
      </c>
      <c r="T31" s="257">
        <f>VLOOKUP(H31,'Maturity Rating'!A$8:B$11,2,FALSE)</f>
        <v>2</v>
      </c>
      <c r="U31" s="257">
        <f>VLOOKUP(I31,'Maturity Rating'!A$14:B$17,2,FALSE)</f>
        <v>1</v>
      </c>
      <c r="V31" s="257">
        <f>VLOOKUP(J31,'Maturity Rating'!A$20:B$23,2,FALSE)</f>
        <v>1</v>
      </c>
      <c r="W31" s="24" t="str">
        <f t="shared" ref="W31" si="5">CONCATENATE(S31,T31,U31,V31)</f>
        <v>1211</v>
      </c>
    </row>
    <row r="32" spans="1:24" ht="29">
      <c r="A32" s="3">
        <v>10.31</v>
      </c>
      <c r="B32" s="345"/>
      <c r="C32" s="365"/>
      <c r="D32" s="257"/>
      <c r="E32" s="28" t="s">
        <v>407</v>
      </c>
      <c r="F32" s="257" t="s">
        <v>89</v>
      </c>
      <c r="G32" s="79" t="s">
        <v>127</v>
      </c>
      <c r="H32" s="257" t="s">
        <v>100</v>
      </c>
      <c r="I32" s="257" t="s">
        <v>101</v>
      </c>
      <c r="J32" s="257" t="s">
        <v>129</v>
      </c>
      <c r="K32" s="271">
        <f t="shared" si="0"/>
        <v>2.25</v>
      </c>
      <c r="L32" s="273">
        <f>IF(AND(D32="K",K32=1),'Maturity Rating'!$E$8,IF(K32="NA",K32,IF(D32="K",K32*'Maturity Rating'!$E$7,K32)))</f>
        <v>2.25</v>
      </c>
      <c r="M32" s="339"/>
      <c r="N32" s="339"/>
      <c r="O32" s="361"/>
      <c r="S32" s="257">
        <f>VLOOKUP(G32,'Maturity Rating'!A$2:B$5,2,FALSE)</f>
        <v>1</v>
      </c>
      <c r="T32" s="257">
        <f>VLOOKUP(H32,'Maturity Rating'!A$8:B$11,2,FALSE)</f>
        <v>3</v>
      </c>
      <c r="U32" s="257">
        <f>VLOOKUP(I32,'Maturity Rating'!A$14:B$17,2,FALSE)</f>
        <v>2</v>
      </c>
      <c r="V32" s="257">
        <f>VLOOKUP(J32,'Maturity Rating'!A$20:B$23,2,FALSE)</f>
        <v>3</v>
      </c>
      <c r="W32" s="24" t="str">
        <f t="shared" si="1"/>
        <v>1323</v>
      </c>
    </row>
    <row r="33" spans="1:24" ht="15" thickBot="1">
      <c r="A33" s="2">
        <v>10.32</v>
      </c>
      <c r="B33" s="347"/>
      <c r="C33" s="367"/>
      <c r="D33" s="259" t="s">
        <v>87</v>
      </c>
      <c r="E33" s="190" t="s">
        <v>408</v>
      </c>
      <c r="F33" s="259" t="s">
        <v>89</v>
      </c>
      <c r="G33" s="259" t="s">
        <v>127</v>
      </c>
      <c r="H33" s="259" t="s">
        <v>100</v>
      </c>
      <c r="I33" s="259" t="s">
        <v>101</v>
      </c>
      <c r="J33" s="259" t="s">
        <v>129</v>
      </c>
      <c r="K33" s="262">
        <f t="shared" si="0"/>
        <v>2.25</v>
      </c>
      <c r="L33" s="272">
        <f>IF(AND(D33="K",K33=1),'Maturity Rating'!$E$8,IF(K33="NA",K33,IF(D33="K",K33*'Maturity Rating'!$E$7,K33)))</f>
        <v>2.6999999999999997</v>
      </c>
      <c r="M33" s="340"/>
      <c r="N33" s="340"/>
      <c r="O33" s="362"/>
      <c r="S33" s="257">
        <f>VLOOKUP(G33,'Maturity Rating'!A$2:B$5,2,FALSE)</f>
        <v>1</v>
      </c>
      <c r="T33" s="257">
        <f>VLOOKUP(H33,'Maturity Rating'!A$8:B$11,2,FALSE)</f>
        <v>3</v>
      </c>
      <c r="U33" s="257">
        <f>VLOOKUP(I33,'Maturity Rating'!A$14:B$17,2,FALSE)</f>
        <v>2</v>
      </c>
      <c r="V33" s="257">
        <f>VLOOKUP(J33,'Maturity Rating'!A$20:B$23,2,FALSE)</f>
        <v>3</v>
      </c>
      <c r="W33" s="24" t="str">
        <f t="shared" si="1"/>
        <v>1323</v>
      </c>
    </row>
    <row r="34" spans="1:24" ht="30" customHeight="1">
      <c r="A34" s="107">
        <v>10.33</v>
      </c>
      <c r="B34" s="344" t="s">
        <v>409</v>
      </c>
      <c r="C34" s="364" t="s">
        <v>410</v>
      </c>
      <c r="D34" s="263" t="s">
        <v>87</v>
      </c>
      <c r="E34" s="147" t="s">
        <v>411</v>
      </c>
      <c r="F34" s="263" t="s">
        <v>89</v>
      </c>
      <c r="G34" s="79" t="s">
        <v>127</v>
      </c>
      <c r="H34" s="263" t="s">
        <v>91</v>
      </c>
      <c r="I34" s="263" t="s">
        <v>91</v>
      </c>
      <c r="J34" s="263" t="s">
        <v>91</v>
      </c>
      <c r="K34" s="271">
        <f t="shared" si="0"/>
        <v>1</v>
      </c>
      <c r="L34" s="271">
        <f>IF(AND(D34="K",K34=1),'Maturity Rating'!$E$8,IF(K34="NA",K34,IF(D34="K",K34*'Maturity Rating'!$E$7,K34)))</f>
        <v>0.8</v>
      </c>
      <c r="M34" s="339">
        <f>IF(X34="NANANANANANANANANA",K34,AVERAGE(L34:L41))</f>
        <v>1.825</v>
      </c>
      <c r="N34" s="339">
        <f>IF(M34&lt;1.1,1,IF(M34="NA",M34,(MIN(5,M34/3*5))))</f>
        <v>3.0416666666666665</v>
      </c>
      <c r="O34" s="361" t="str">
        <f>IF(N34="NA",N34,VLOOKUP(Q34,'Maturity Rating'!G4:H8,2,FALSE))</f>
        <v>Defined</v>
      </c>
      <c r="Q34" s="244">
        <f>IF(N34="NA",N34,ROUNDDOWN(N34,0))</f>
        <v>3</v>
      </c>
      <c r="S34" s="257">
        <f>VLOOKUP(G34,'Maturity Rating'!A$2:B$5,2,FALSE)</f>
        <v>1</v>
      </c>
      <c r="T34" s="257" t="str">
        <f>VLOOKUP(H34,'Maturity Rating'!A$8:B$11,2,FALSE)</f>
        <v>NA</v>
      </c>
      <c r="U34" s="257" t="str">
        <f>VLOOKUP(I34,'Maturity Rating'!A$14:B$17,2,FALSE)</f>
        <v>NA</v>
      </c>
      <c r="V34" s="257" t="str">
        <f>VLOOKUP(J34,'Maturity Rating'!A$20:B$23,2,FALSE)</f>
        <v>NA</v>
      </c>
      <c r="W34" s="24" t="str">
        <f t="shared" si="1"/>
        <v>1NANANA</v>
      </c>
      <c r="X34" s="24" t="str">
        <f>CONCATENATE(L34,L35,L36,L37,L38,L39,L40,L41)</f>
        <v>0.812.52.50.82.52.52</v>
      </c>
    </row>
    <row r="35" spans="1:24" ht="29">
      <c r="A35" s="3">
        <v>10.34</v>
      </c>
      <c r="B35" s="345"/>
      <c r="C35" s="365"/>
      <c r="D35" s="257"/>
      <c r="E35" s="266" t="s">
        <v>412</v>
      </c>
      <c r="F35" s="257" t="s">
        <v>89</v>
      </c>
      <c r="G35" s="79" t="s">
        <v>127</v>
      </c>
      <c r="H35" s="263" t="s">
        <v>95</v>
      </c>
      <c r="I35" s="263" t="s">
        <v>91</v>
      </c>
      <c r="J35" s="263" t="s">
        <v>102</v>
      </c>
      <c r="K35" s="271">
        <f t="shared" si="0"/>
        <v>1</v>
      </c>
      <c r="L35" s="273">
        <f>IF(AND(D35="K",K35=1),'Maturity Rating'!$E$8,IF(K35="NA",K35,IF(D35="K",K35*'Maturity Rating'!$E$7,K35)))</f>
        <v>1</v>
      </c>
      <c r="M35" s="339"/>
      <c r="N35" s="339"/>
      <c r="O35" s="361"/>
      <c r="S35" s="257">
        <f>VLOOKUP(G35,'Maturity Rating'!A$2:B$5,2,FALSE)</f>
        <v>1</v>
      </c>
      <c r="T35" s="257">
        <f>VLOOKUP(H35,'Maturity Rating'!A$8:B$11,2,FALSE)</f>
        <v>1</v>
      </c>
      <c r="U35" s="257" t="str">
        <f>VLOOKUP(I35,'Maturity Rating'!A$14:B$17,2,FALSE)</f>
        <v>NA</v>
      </c>
      <c r="V35" s="257">
        <f>VLOOKUP(J35,'Maturity Rating'!A$20:B$23,2,FALSE)</f>
        <v>1</v>
      </c>
      <c r="W35" s="24" t="str">
        <f t="shared" si="1"/>
        <v>11NA1</v>
      </c>
    </row>
    <row r="36" spans="1:24">
      <c r="A36" s="3">
        <v>10.35</v>
      </c>
      <c r="B36" s="345"/>
      <c r="C36" s="365"/>
      <c r="D36" s="257"/>
      <c r="E36" s="266" t="s">
        <v>264</v>
      </c>
      <c r="F36" s="257" t="s">
        <v>105</v>
      </c>
      <c r="G36" s="79" t="s">
        <v>127</v>
      </c>
      <c r="H36" s="263" t="s">
        <v>100</v>
      </c>
      <c r="I36" s="263" t="s">
        <v>120</v>
      </c>
      <c r="J36" s="263" t="s">
        <v>129</v>
      </c>
      <c r="K36" s="271">
        <f t="shared" si="0"/>
        <v>2.5</v>
      </c>
      <c r="L36" s="273">
        <f>IF(AND(D36="K",K36=1),'Maturity Rating'!$E$8,IF(K36="NA",K36,IF(D36="K",K36*'Maturity Rating'!$E$7,K36)))</f>
        <v>2.5</v>
      </c>
      <c r="M36" s="339"/>
      <c r="N36" s="339"/>
      <c r="O36" s="361"/>
      <c r="S36" s="257">
        <f>VLOOKUP(G36,'Maturity Rating'!A$2:B$5,2,FALSE)</f>
        <v>1</v>
      </c>
      <c r="T36" s="257">
        <f>VLOOKUP(H36,'Maturity Rating'!A$8:B$11,2,FALSE)</f>
        <v>3</v>
      </c>
      <c r="U36" s="257">
        <f>VLOOKUP(I36,'Maturity Rating'!A$14:B$17,2,FALSE)</f>
        <v>3</v>
      </c>
      <c r="V36" s="257">
        <f>VLOOKUP(J36,'Maturity Rating'!A$20:B$23,2,FALSE)</f>
        <v>3</v>
      </c>
      <c r="W36" s="24" t="str">
        <f t="shared" si="1"/>
        <v>1333</v>
      </c>
    </row>
    <row r="37" spans="1:24">
      <c r="A37" s="3">
        <v>10.36</v>
      </c>
      <c r="B37" s="345"/>
      <c r="C37" s="365"/>
      <c r="D37" s="257"/>
      <c r="E37" s="266" t="s">
        <v>413</v>
      </c>
      <c r="F37" s="257" t="s">
        <v>89</v>
      </c>
      <c r="G37" s="79" t="s">
        <v>127</v>
      </c>
      <c r="H37" s="263" t="s">
        <v>100</v>
      </c>
      <c r="I37" s="263" t="s">
        <v>120</v>
      </c>
      <c r="J37" s="263" t="s">
        <v>129</v>
      </c>
      <c r="K37" s="271">
        <f t="shared" si="0"/>
        <v>2.5</v>
      </c>
      <c r="L37" s="273">
        <f>IF(AND(D37="K",K37=1),'Maturity Rating'!$E$8,IF(K37="NA",K37,IF(D37="K",K37*'Maturity Rating'!$E$7,K37)))</f>
        <v>2.5</v>
      </c>
      <c r="M37" s="339"/>
      <c r="N37" s="339"/>
      <c r="O37" s="361"/>
      <c r="S37" s="257">
        <f>VLOOKUP(G37,'Maturity Rating'!A$2:B$5,2,FALSE)</f>
        <v>1</v>
      </c>
      <c r="T37" s="257">
        <f>VLOOKUP(H37,'Maturity Rating'!A$8:B$11,2,FALSE)</f>
        <v>3</v>
      </c>
      <c r="U37" s="257">
        <f>VLOOKUP(I37,'Maturity Rating'!A$14:B$17,2,FALSE)</f>
        <v>3</v>
      </c>
      <c r="V37" s="257">
        <f>VLOOKUP(J37,'Maturity Rating'!A$20:B$23,2,FALSE)</f>
        <v>3</v>
      </c>
      <c r="W37" s="24" t="str">
        <f t="shared" si="1"/>
        <v>1333</v>
      </c>
    </row>
    <row r="38" spans="1:24" ht="29">
      <c r="A38" s="3">
        <v>10.37</v>
      </c>
      <c r="B38" s="345"/>
      <c r="C38" s="365"/>
      <c r="D38" s="257" t="s">
        <v>87</v>
      </c>
      <c r="E38" s="52" t="s">
        <v>414</v>
      </c>
      <c r="F38" s="257" t="s">
        <v>105</v>
      </c>
      <c r="G38" s="79" t="s">
        <v>127</v>
      </c>
      <c r="H38" s="263" t="s">
        <v>95</v>
      </c>
      <c r="I38" s="263" t="s">
        <v>206</v>
      </c>
      <c r="J38" s="263" t="s">
        <v>102</v>
      </c>
      <c r="K38" s="271">
        <f t="shared" si="0"/>
        <v>1</v>
      </c>
      <c r="L38" s="273">
        <f>IF(AND(D38="K",K38=1),'Maturity Rating'!$E$8,IF(K38="NA",K38,IF(D38="K",K38*'Maturity Rating'!$E$7,K38)))</f>
        <v>0.8</v>
      </c>
      <c r="M38" s="339"/>
      <c r="N38" s="339"/>
      <c r="O38" s="361"/>
      <c r="S38" s="257">
        <f>VLOOKUP(G38,'Maturity Rating'!A$2:B$5,2,FALSE)</f>
        <v>1</v>
      </c>
      <c r="T38" s="257">
        <f>VLOOKUP(H38,'Maturity Rating'!A$8:B$11,2,FALSE)</f>
        <v>1</v>
      </c>
      <c r="U38" s="257">
        <f>VLOOKUP(I38,'Maturity Rating'!A$14:B$17,2,FALSE)</f>
        <v>1</v>
      </c>
      <c r="V38" s="257">
        <f>VLOOKUP(J38,'Maturity Rating'!A$20:B$23,2,FALSE)</f>
        <v>1</v>
      </c>
      <c r="W38" s="24" t="str">
        <f t="shared" si="1"/>
        <v>1111</v>
      </c>
    </row>
    <row r="39" spans="1:24">
      <c r="A39" s="3">
        <v>10.38</v>
      </c>
      <c r="B39" s="345"/>
      <c r="C39" s="365"/>
      <c r="D39" s="257"/>
      <c r="E39" s="266" t="s">
        <v>415</v>
      </c>
      <c r="F39" s="257" t="s">
        <v>105</v>
      </c>
      <c r="G39" s="79" t="s">
        <v>127</v>
      </c>
      <c r="H39" s="263" t="s">
        <v>100</v>
      </c>
      <c r="I39" s="263" t="s">
        <v>120</v>
      </c>
      <c r="J39" s="263" t="s">
        <v>129</v>
      </c>
      <c r="K39" s="271">
        <f t="shared" si="0"/>
        <v>2.5</v>
      </c>
      <c r="L39" s="273">
        <f>IF(AND(D39="K",K39=1),'Maturity Rating'!$E$8,IF(K39="NA",K39,IF(D39="K",K39*'Maturity Rating'!$E$7,K39)))</f>
        <v>2.5</v>
      </c>
      <c r="M39" s="339"/>
      <c r="N39" s="339"/>
      <c r="O39" s="361"/>
      <c r="S39" s="257">
        <f>VLOOKUP(G39,'Maturity Rating'!A$2:B$5,2,FALSE)</f>
        <v>1</v>
      </c>
      <c r="T39" s="257">
        <f>VLOOKUP(H39,'Maturity Rating'!A$8:B$11,2,FALSE)</f>
        <v>3</v>
      </c>
      <c r="U39" s="257">
        <f>VLOOKUP(I39,'Maturity Rating'!A$14:B$17,2,FALSE)</f>
        <v>3</v>
      </c>
      <c r="V39" s="257">
        <f>VLOOKUP(J39,'Maturity Rating'!A$20:B$23,2,FALSE)</f>
        <v>3</v>
      </c>
      <c r="W39" s="24" t="str">
        <f t="shared" si="1"/>
        <v>1333</v>
      </c>
    </row>
    <row r="40" spans="1:24">
      <c r="A40" s="3">
        <v>10.39</v>
      </c>
      <c r="B40" s="345"/>
      <c r="C40" s="365"/>
      <c r="D40" s="257"/>
      <c r="E40" s="266" t="s">
        <v>416</v>
      </c>
      <c r="F40" s="257" t="s">
        <v>105</v>
      </c>
      <c r="G40" s="79" t="s">
        <v>127</v>
      </c>
      <c r="H40" s="263" t="s">
        <v>100</v>
      </c>
      <c r="I40" s="263" t="s">
        <v>120</v>
      </c>
      <c r="J40" s="263" t="s">
        <v>129</v>
      </c>
      <c r="K40" s="271">
        <f t="shared" si="0"/>
        <v>2.5</v>
      </c>
      <c r="L40" s="273">
        <f>IF(AND(D40="K",K40=1),'Maturity Rating'!$E$8,IF(K40="NA",K40,IF(D40="K",K40*'Maturity Rating'!$E$7,K40)))</f>
        <v>2.5</v>
      </c>
      <c r="M40" s="339"/>
      <c r="N40" s="339"/>
      <c r="O40" s="361"/>
      <c r="S40" s="257">
        <f>VLOOKUP(G40,'Maturity Rating'!A$2:B$5,2,FALSE)</f>
        <v>1</v>
      </c>
      <c r="T40" s="257">
        <f>VLOOKUP(H40,'Maturity Rating'!A$8:B$11,2,FALSE)</f>
        <v>3</v>
      </c>
      <c r="U40" s="257">
        <f>VLOOKUP(I40,'Maturity Rating'!A$14:B$17,2,FALSE)</f>
        <v>3</v>
      </c>
      <c r="V40" s="257">
        <f>VLOOKUP(J40,'Maturity Rating'!A$20:B$23,2,FALSE)</f>
        <v>3</v>
      </c>
      <c r="W40" s="24" t="str">
        <f t="shared" si="1"/>
        <v>1333</v>
      </c>
    </row>
    <row r="41" spans="1:24" ht="29.5" thickBot="1">
      <c r="A41" s="2" t="s">
        <v>417</v>
      </c>
      <c r="B41" s="347"/>
      <c r="C41" s="367"/>
      <c r="D41" s="259"/>
      <c r="E41" s="268" t="s">
        <v>418</v>
      </c>
      <c r="F41" s="259" t="s">
        <v>105</v>
      </c>
      <c r="G41" s="259" t="s">
        <v>90</v>
      </c>
      <c r="H41" s="259" t="s">
        <v>125</v>
      </c>
      <c r="I41" s="259" t="s">
        <v>120</v>
      </c>
      <c r="J41" s="259" t="s">
        <v>102</v>
      </c>
      <c r="K41" s="272">
        <f t="shared" si="0"/>
        <v>2</v>
      </c>
      <c r="L41" s="272">
        <f>IF(AND(D41="K",K41=1),'Maturity Rating'!$E$8,IF(K41="NA",K41,IF(D41="K",K41*'Maturity Rating'!$E$7,K41)))</f>
        <v>2</v>
      </c>
      <c r="M41" s="340"/>
      <c r="N41" s="340"/>
      <c r="O41" s="362"/>
      <c r="S41" s="257">
        <f>VLOOKUP(G41,'Maturity Rating'!A$2:B$5,2,FALSE)</f>
        <v>2</v>
      </c>
      <c r="T41" s="257">
        <f>VLOOKUP(H41,'Maturity Rating'!A$8:B$11,2,FALSE)</f>
        <v>2</v>
      </c>
      <c r="U41" s="257">
        <f>VLOOKUP(I41,'Maturity Rating'!A$14:B$17,2,FALSE)</f>
        <v>3</v>
      </c>
      <c r="V41" s="257">
        <f>VLOOKUP(J41,'Maturity Rating'!A$20:B$23,2,FALSE)</f>
        <v>1</v>
      </c>
      <c r="W41" s="24" t="str">
        <f t="shared" si="1"/>
        <v>2231</v>
      </c>
    </row>
    <row r="42" spans="1:24" ht="29">
      <c r="A42" s="107">
        <v>10.41</v>
      </c>
      <c r="B42" s="395" t="s">
        <v>419</v>
      </c>
      <c r="C42" s="364" t="s">
        <v>273</v>
      </c>
      <c r="D42" s="263" t="s">
        <v>87</v>
      </c>
      <c r="E42" s="147" t="s">
        <v>420</v>
      </c>
      <c r="F42" s="263" t="s">
        <v>89</v>
      </c>
      <c r="G42" s="79" t="s">
        <v>127</v>
      </c>
      <c r="H42" s="257" t="s">
        <v>91</v>
      </c>
      <c r="I42" s="257" t="s">
        <v>91</v>
      </c>
      <c r="J42" s="257" t="s">
        <v>91</v>
      </c>
      <c r="K42" s="271">
        <f t="shared" si="0"/>
        <v>1</v>
      </c>
      <c r="L42" s="271">
        <f>IF(AND(D42="K",K42=1),'Maturity Rating'!$E$8,IF(K42="NA",K42,IF(D42="K",K42*'Maturity Rating'!$E$7,K42)))</f>
        <v>0.8</v>
      </c>
      <c r="M42" s="338">
        <f>IF(X42="NANANANA",K42,AVERAGE(L42:L46))</f>
        <v>1.26</v>
      </c>
      <c r="N42" s="338">
        <f>IF(M42&lt;1.1,1,IF(M42="NA",M42,(MIN(5,M42/3*5))))</f>
        <v>2.1</v>
      </c>
      <c r="O42" s="363" t="str">
        <f>IF(N42="NA",N42,VLOOKUP(Q42,'Maturity Rating'!G4:H8,2,FALSE))</f>
        <v>Partial</v>
      </c>
      <c r="Q42" s="244">
        <f>IF(N42="NA",N42,ROUNDDOWN(N42,0))</f>
        <v>2</v>
      </c>
      <c r="S42" s="257">
        <f>VLOOKUP(G42,'Maturity Rating'!A$2:B$5,2,FALSE)</f>
        <v>1</v>
      </c>
      <c r="T42" s="257" t="str">
        <f>VLOOKUP(H42,'Maturity Rating'!A$8:B$11,2,FALSE)</f>
        <v>NA</v>
      </c>
      <c r="U42" s="257" t="str">
        <f>VLOOKUP(I42,'Maturity Rating'!A$14:B$17,2,FALSE)</f>
        <v>NA</v>
      </c>
      <c r="V42" s="257" t="str">
        <f>VLOOKUP(J42,'Maturity Rating'!A$20:B$23,2,FALSE)</f>
        <v>NA</v>
      </c>
      <c r="W42" s="24" t="str">
        <f t="shared" si="1"/>
        <v>1NANANA</v>
      </c>
      <c r="X42" s="24" t="str">
        <f>CONCATENATE(L42,L43,L44,L45,L46)</f>
        <v>0.8211.51</v>
      </c>
    </row>
    <row r="43" spans="1:24" ht="29">
      <c r="A43" s="3">
        <v>10.42</v>
      </c>
      <c r="B43" s="392"/>
      <c r="C43" s="365"/>
      <c r="D43" s="257"/>
      <c r="E43" s="266" t="s">
        <v>275</v>
      </c>
      <c r="F43" s="257" t="s">
        <v>89</v>
      </c>
      <c r="G43" s="79" t="s">
        <v>127</v>
      </c>
      <c r="H43" s="257" t="s">
        <v>100</v>
      </c>
      <c r="I43" s="257" t="s">
        <v>91</v>
      </c>
      <c r="J43" s="257" t="s">
        <v>91</v>
      </c>
      <c r="K43" s="271">
        <f t="shared" si="0"/>
        <v>2</v>
      </c>
      <c r="L43" s="273">
        <f>IF(AND(D43="K",K43=1),'Maturity Rating'!$E$8,IF(K43="NA",K43,IF(D43="K",K43*'Maturity Rating'!$E$7,K43)))</f>
        <v>2</v>
      </c>
      <c r="M43" s="339"/>
      <c r="N43" s="339"/>
      <c r="O43" s="361"/>
      <c r="S43" s="257">
        <f>VLOOKUP(G43,'Maturity Rating'!A$2:B$5,2,FALSE)</f>
        <v>1</v>
      </c>
      <c r="T43" s="257">
        <f>VLOOKUP(H43,'Maturity Rating'!A$8:B$11,2,FALSE)</f>
        <v>3</v>
      </c>
      <c r="U43" s="257" t="str">
        <f>VLOOKUP(I43,'Maturity Rating'!A$14:B$17,2,FALSE)</f>
        <v>NA</v>
      </c>
      <c r="V43" s="257" t="str">
        <f>VLOOKUP(J43,'Maturity Rating'!A$20:B$23,2,FALSE)</f>
        <v>NA</v>
      </c>
      <c r="W43" s="24" t="str">
        <f t="shared" si="1"/>
        <v>13NANA</v>
      </c>
    </row>
    <row r="44" spans="1:24" ht="29">
      <c r="A44" s="114">
        <v>10.43</v>
      </c>
      <c r="B44" s="392"/>
      <c r="C44" s="365"/>
      <c r="D44" s="257"/>
      <c r="E44" s="266" t="s">
        <v>279</v>
      </c>
      <c r="F44" s="257" t="s">
        <v>89</v>
      </c>
      <c r="G44" s="79" t="s">
        <v>127</v>
      </c>
      <c r="H44" s="257" t="s">
        <v>95</v>
      </c>
      <c r="I44" s="257" t="s">
        <v>91</v>
      </c>
      <c r="J44" s="257" t="s">
        <v>102</v>
      </c>
      <c r="K44" s="271">
        <f t="shared" ref="K44" si="6">IF(W44="NANANANA",S44,IF(AND(OR(G44="Formally Documented",G44="Informally Documented"),H44="Not Implemented"),0.5*AVERAGE(S44:V44),AVERAGE(S44:V44)))</f>
        <v>1</v>
      </c>
      <c r="L44" s="273">
        <f>IF(AND(D44="K",K44=1),'Maturity Rating'!$E$8,IF(K44="NA",K44,IF(D44="K",K44*'Maturity Rating'!$E$7,K44)))</f>
        <v>1</v>
      </c>
      <c r="M44" s="339"/>
      <c r="N44" s="339"/>
      <c r="O44" s="361"/>
      <c r="S44" s="257">
        <f>VLOOKUP(G44,'Maturity Rating'!A$2:B$5,2,FALSE)</f>
        <v>1</v>
      </c>
      <c r="T44" s="257">
        <f>VLOOKUP(H44,'Maturity Rating'!A$8:B$11,2,FALSE)</f>
        <v>1</v>
      </c>
      <c r="U44" s="257" t="str">
        <f>VLOOKUP(I44,'Maturity Rating'!A$14:B$17,2,FALSE)</f>
        <v>NA</v>
      </c>
      <c r="V44" s="257">
        <f>VLOOKUP(J44,'Maturity Rating'!A$20:B$23,2,FALSE)</f>
        <v>1</v>
      </c>
      <c r="W44" s="24" t="str">
        <f t="shared" ref="W44" si="7">CONCATENATE(S44,T44,U44,V44)</f>
        <v>11NA1</v>
      </c>
    </row>
    <row r="45" spans="1:24" ht="29">
      <c r="A45" s="114">
        <v>10.44</v>
      </c>
      <c r="B45" s="392"/>
      <c r="C45" s="365"/>
      <c r="D45" s="257"/>
      <c r="E45" s="266" t="s">
        <v>421</v>
      </c>
      <c r="F45" s="257" t="s">
        <v>89</v>
      </c>
      <c r="G45" s="79" t="s">
        <v>127</v>
      </c>
      <c r="H45" s="257" t="s">
        <v>100</v>
      </c>
      <c r="I45" s="257" t="s">
        <v>206</v>
      </c>
      <c r="J45" s="257" t="s">
        <v>102</v>
      </c>
      <c r="K45" s="271">
        <f t="shared" si="0"/>
        <v>1.5</v>
      </c>
      <c r="L45" s="273">
        <f>IF(AND(D45="K",K45=1),'Maturity Rating'!$E$8,IF(K45="NA",K45,IF(D45="K",K45*'Maturity Rating'!$E$7,K45)))</f>
        <v>1.5</v>
      </c>
      <c r="M45" s="339"/>
      <c r="N45" s="339"/>
      <c r="O45" s="361"/>
      <c r="S45" s="257">
        <f>VLOOKUP(G45,'Maturity Rating'!A$2:B$5,2,FALSE)</f>
        <v>1</v>
      </c>
      <c r="T45" s="257">
        <f>VLOOKUP(H45,'Maturity Rating'!A$8:B$11,2,FALSE)</f>
        <v>3</v>
      </c>
      <c r="U45" s="257">
        <f>VLOOKUP(I45,'Maturity Rating'!A$14:B$17,2,FALSE)</f>
        <v>1</v>
      </c>
      <c r="V45" s="257">
        <f>VLOOKUP(J45,'Maturity Rating'!A$20:B$23,2,FALSE)</f>
        <v>1</v>
      </c>
      <c r="W45" s="24" t="str">
        <f t="shared" si="1"/>
        <v>1311</v>
      </c>
    </row>
    <row r="46" spans="1:24" ht="29.5" thickBot="1">
      <c r="A46" s="116">
        <v>10.45</v>
      </c>
      <c r="B46" s="393"/>
      <c r="C46" s="366"/>
      <c r="D46" s="258"/>
      <c r="E46" s="267" t="s">
        <v>422</v>
      </c>
      <c r="F46" s="258" t="s">
        <v>105</v>
      </c>
      <c r="G46" s="258" t="s">
        <v>127</v>
      </c>
      <c r="H46" s="258" t="s">
        <v>95</v>
      </c>
      <c r="I46" s="258" t="s">
        <v>206</v>
      </c>
      <c r="J46" s="258" t="s">
        <v>102</v>
      </c>
      <c r="K46" s="274">
        <f t="shared" si="0"/>
        <v>1</v>
      </c>
      <c r="L46" s="274">
        <f>IF(AND(D46="K",K46=1),'Maturity Rating'!$E$8,IF(K46="NA",K46,IF(D46="K",K46*'Maturity Rating'!$E$7,K46)))</f>
        <v>1</v>
      </c>
      <c r="M46" s="339"/>
      <c r="N46" s="339"/>
      <c r="O46" s="361"/>
      <c r="S46" s="257">
        <f>VLOOKUP(G46,'Maturity Rating'!A$2:B$5,2,FALSE)</f>
        <v>1</v>
      </c>
      <c r="T46" s="257">
        <f>VLOOKUP(H46,'Maturity Rating'!A$8:B$11,2,FALSE)</f>
        <v>1</v>
      </c>
      <c r="U46" s="257">
        <f>VLOOKUP(I46,'Maturity Rating'!A$14:B$17,2,FALSE)</f>
        <v>1</v>
      </c>
      <c r="V46" s="257">
        <f>VLOOKUP(J46,'Maturity Rating'!A$20:B$23,2,FALSE)</f>
        <v>1</v>
      </c>
      <c r="W46" s="24" t="str">
        <f t="shared" si="1"/>
        <v>1111</v>
      </c>
    </row>
    <row r="47" spans="1:24" ht="29">
      <c r="A47" s="4">
        <v>10.46</v>
      </c>
      <c r="B47" s="359" t="s">
        <v>222</v>
      </c>
      <c r="C47" s="368" t="s">
        <v>423</v>
      </c>
      <c r="D47" s="256"/>
      <c r="E47" s="277" t="s">
        <v>424</v>
      </c>
      <c r="F47" s="256" t="s">
        <v>89</v>
      </c>
      <c r="G47" s="108" t="s">
        <v>127</v>
      </c>
      <c r="H47" s="256" t="s">
        <v>91</v>
      </c>
      <c r="I47" s="256" t="s">
        <v>91</v>
      </c>
      <c r="J47" s="256" t="s">
        <v>91</v>
      </c>
      <c r="K47" s="278">
        <f t="shared" si="0"/>
        <v>1</v>
      </c>
      <c r="L47" s="278">
        <f>IF(AND(D47="K",K47=1),'Maturity Rating'!$E$8,IF(K47="NA",K47,IF(D47="K",K47*'Maturity Rating'!$E$7,K47)))</f>
        <v>1</v>
      </c>
      <c r="M47" s="338">
        <f>IF(X47="NANANANANANA",K47,AVERAGE(L47:L52))</f>
        <v>0.96666666666666667</v>
      </c>
      <c r="N47" s="338">
        <f>IF(M47="NA",M47,(MIN(5,M47/3*5)))</f>
        <v>1.6111111111111112</v>
      </c>
      <c r="O47" s="363" t="str">
        <f>IF(N47="NA",N47,VLOOKUP(Q47,'Maturity Rating'!G4:H8,2,FALSE))</f>
        <v>Initial</v>
      </c>
      <c r="Q47" s="244">
        <f>IF(N47="NA",N47,ROUNDDOWN(N47,0))</f>
        <v>1</v>
      </c>
      <c r="S47" s="257">
        <f>VLOOKUP(G47,'Maturity Rating'!A$2:B$5,2,FALSE)</f>
        <v>1</v>
      </c>
      <c r="T47" s="257" t="str">
        <f>VLOOKUP(H47,'Maturity Rating'!A$8:B$11,2,FALSE)</f>
        <v>NA</v>
      </c>
      <c r="U47" s="257" t="str">
        <f>VLOOKUP(I47,'Maturity Rating'!A$14:B$17,2,FALSE)</f>
        <v>NA</v>
      </c>
      <c r="V47" s="257" t="str">
        <f>VLOOKUP(J47,'Maturity Rating'!A$20:B$23,2,FALSE)</f>
        <v>NA</v>
      </c>
      <c r="W47" s="24" t="str">
        <f t="shared" si="1"/>
        <v>1NANANA</v>
      </c>
      <c r="X47" s="24" t="str">
        <f>CONCATENATE(L47,L48,L49,L50,L51,L52)</f>
        <v>110.8111</v>
      </c>
    </row>
    <row r="48" spans="1:24" ht="29">
      <c r="A48" s="3">
        <v>10.47</v>
      </c>
      <c r="B48" s="345"/>
      <c r="C48" s="365"/>
      <c r="D48" s="257"/>
      <c r="E48" s="266" t="s">
        <v>425</v>
      </c>
      <c r="F48" s="257" t="s">
        <v>89</v>
      </c>
      <c r="G48" s="79" t="s">
        <v>127</v>
      </c>
      <c r="H48" s="257" t="s">
        <v>95</v>
      </c>
      <c r="I48" s="257" t="s">
        <v>91</v>
      </c>
      <c r="J48" s="257" t="s">
        <v>91</v>
      </c>
      <c r="K48" s="271">
        <f t="shared" si="0"/>
        <v>1</v>
      </c>
      <c r="L48" s="273">
        <f>IF(AND(D48="K",K48=1),'Maturity Rating'!$E$8,IF(K48="NA",K48,IF(D48="K",K48*'Maturity Rating'!$E$7,K48)))</f>
        <v>1</v>
      </c>
      <c r="M48" s="339"/>
      <c r="N48" s="339"/>
      <c r="O48" s="361"/>
      <c r="S48" s="257">
        <f>VLOOKUP(G48,'Maturity Rating'!A$2:B$5,2,FALSE)</f>
        <v>1</v>
      </c>
      <c r="T48" s="257">
        <f>VLOOKUP(H48,'Maturity Rating'!A$8:B$11,2,FALSE)</f>
        <v>1</v>
      </c>
      <c r="U48" s="257" t="str">
        <f>VLOOKUP(I48,'Maturity Rating'!A$14:B$17,2,FALSE)</f>
        <v>NA</v>
      </c>
      <c r="V48" s="257" t="str">
        <f>VLOOKUP(J48,'Maturity Rating'!A$20:B$23,2,FALSE)</f>
        <v>NA</v>
      </c>
      <c r="W48" s="24" t="str">
        <f t="shared" si="1"/>
        <v>11NANA</v>
      </c>
    </row>
    <row r="49" spans="1:24" ht="29">
      <c r="A49" s="3">
        <v>10.48</v>
      </c>
      <c r="B49" s="345"/>
      <c r="C49" s="365"/>
      <c r="D49" s="257" t="s">
        <v>87</v>
      </c>
      <c r="E49" s="52" t="s">
        <v>225</v>
      </c>
      <c r="F49" s="257" t="s">
        <v>89</v>
      </c>
      <c r="G49" s="79" t="s">
        <v>127</v>
      </c>
      <c r="H49" s="257" t="s">
        <v>95</v>
      </c>
      <c r="I49" s="257" t="s">
        <v>206</v>
      </c>
      <c r="J49" s="257" t="s">
        <v>102</v>
      </c>
      <c r="K49" s="271">
        <f t="shared" si="0"/>
        <v>1</v>
      </c>
      <c r="L49" s="273">
        <f>IF(AND(D49="K",K49=1),'Maturity Rating'!$E$8,IF(K49="NA",K49,IF(D49="K",K49*'Maturity Rating'!$E$7,K49)))</f>
        <v>0.8</v>
      </c>
      <c r="M49" s="339"/>
      <c r="N49" s="339"/>
      <c r="O49" s="361"/>
      <c r="S49" s="257">
        <f>VLOOKUP(G49,'Maturity Rating'!A$2:B$5,2,FALSE)</f>
        <v>1</v>
      </c>
      <c r="T49" s="257">
        <f>VLOOKUP(H49,'Maturity Rating'!A$8:B$11,2,FALSE)</f>
        <v>1</v>
      </c>
      <c r="U49" s="257">
        <f>VLOOKUP(I49,'Maturity Rating'!A$14:B$17,2,FALSE)</f>
        <v>1</v>
      </c>
      <c r="V49" s="257">
        <f>VLOOKUP(J49,'Maturity Rating'!A$20:B$23,2,FALSE)</f>
        <v>1</v>
      </c>
      <c r="W49" s="24" t="str">
        <f t="shared" si="1"/>
        <v>1111</v>
      </c>
    </row>
    <row r="50" spans="1:24" ht="29">
      <c r="A50" s="3">
        <v>10.49</v>
      </c>
      <c r="B50" s="345"/>
      <c r="C50" s="365"/>
      <c r="D50" s="257"/>
      <c r="E50" s="266" t="s">
        <v>226</v>
      </c>
      <c r="F50" s="257" t="s">
        <v>89</v>
      </c>
      <c r="G50" s="79" t="s">
        <v>127</v>
      </c>
      <c r="H50" s="257" t="s">
        <v>95</v>
      </c>
      <c r="I50" s="257" t="s">
        <v>206</v>
      </c>
      <c r="J50" s="257" t="s">
        <v>102</v>
      </c>
      <c r="K50" s="271">
        <f t="shared" si="0"/>
        <v>1</v>
      </c>
      <c r="L50" s="273">
        <f>IF(AND(D50="K",K50=1),'Maturity Rating'!$E$8,IF(K50="NA",K50,IF(D50="K",K50*'Maturity Rating'!$E$7,K50)))</f>
        <v>1</v>
      </c>
      <c r="M50" s="339"/>
      <c r="N50" s="339"/>
      <c r="O50" s="361"/>
      <c r="S50" s="257">
        <f>VLOOKUP(G50,'Maturity Rating'!A$2:B$5,2,FALSE)</f>
        <v>1</v>
      </c>
      <c r="T50" s="257">
        <f>VLOOKUP(H50,'Maturity Rating'!A$8:B$11,2,FALSE)</f>
        <v>1</v>
      </c>
      <c r="U50" s="257">
        <f>VLOOKUP(I50,'Maturity Rating'!A$14:B$17,2,FALSE)</f>
        <v>1</v>
      </c>
      <c r="V50" s="257">
        <f>VLOOKUP(J50,'Maturity Rating'!A$20:B$23,2,FALSE)</f>
        <v>1</v>
      </c>
      <c r="W50" s="24" t="str">
        <f t="shared" si="1"/>
        <v>1111</v>
      </c>
    </row>
    <row r="51" spans="1:24" ht="29">
      <c r="A51" s="3" t="s">
        <v>426</v>
      </c>
      <c r="B51" s="345"/>
      <c r="C51" s="365"/>
      <c r="D51" s="257"/>
      <c r="E51" s="266" t="s">
        <v>227</v>
      </c>
      <c r="F51" s="257" t="s">
        <v>427</v>
      </c>
      <c r="G51" s="79" t="s">
        <v>127</v>
      </c>
      <c r="H51" s="257" t="s">
        <v>95</v>
      </c>
      <c r="I51" s="257" t="s">
        <v>206</v>
      </c>
      <c r="J51" s="257" t="s">
        <v>102</v>
      </c>
      <c r="K51" s="271">
        <f t="shared" si="0"/>
        <v>1</v>
      </c>
      <c r="L51" s="273">
        <f>IF(AND(D51="K",K51=1),'Maturity Rating'!$E$8,IF(K51="NA",K51,IF(D51="K",K51*'Maturity Rating'!$E$7,K51)))</f>
        <v>1</v>
      </c>
      <c r="M51" s="339"/>
      <c r="N51" s="339"/>
      <c r="O51" s="361"/>
      <c r="S51" s="257">
        <f>VLOOKUP(G51,'Maturity Rating'!A$2:B$5,2,FALSE)</f>
        <v>1</v>
      </c>
      <c r="T51" s="257">
        <f>VLOOKUP(H51,'Maturity Rating'!A$8:B$11,2,FALSE)</f>
        <v>1</v>
      </c>
      <c r="U51" s="257">
        <f>VLOOKUP(I51,'Maturity Rating'!A$14:B$17,2,FALSE)</f>
        <v>1</v>
      </c>
      <c r="V51" s="257">
        <f>VLOOKUP(J51,'Maturity Rating'!A$20:B$23,2,FALSE)</f>
        <v>1</v>
      </c>
      <c r="W51" s="24" t="str">
        <f t="shared" si="1"/>
        <v>1111</v>
      </c>
    </row>
    <row r="52" spans="1:24" ht="29.5" thickBot="1">
      <c r="A52" s="2">
        <v>10.51</v>
      </c>
      <c r="B52" s="347"/>
      <c r="C52" s="367"/>
      <c r="D52" s="259"/>
      <c r="E52" s="268" t="s">
        <v>428</v>
      </c>
      <c r="F52" s="259" t="s">
        <v>89</v>
      </c>
      <c r="G52" s="259" t="s">
        <v>127</v>
      </c>
      <c r="H52" s="259" t="s">
        <v>95</v>
      </c>
      <c r="I52" s="259" t="s">
        <v>206</v>
      </c>
      <c r="J52" s="259" t="s">
        <v>102</v>
      </c>
      <c r="K52" s="272">
        <f t="shared" si="0"/>
        <v>1</v>
      </c>
      <c r="L52" s="272">
        <f>IF(AND(D52="K",K52=1),'Maturity Rating'!$E$8,IF(K52="NA",K52,IF(D52="K",K52*'Maturity Rating'!$E$7,K52)))</f>
        <v>1</v>
      </c>
      <c r="M52" s="340"/>
      <c r="N52" s="340"/>
      <c r="O52" s="362"/>
      <c r="S52" s="257">
        <f>VLOOKUP(G52,'Maturity Rating'!A$2:B$5,2,FALSE)</f>
        <v>1</v>
      </c>
      <c r="T52" s="257">
        <f>VLOOKUP(H52,'Maturity Rating'!A$8:B$11,2,FALSE)</f>
        <v>1</v>
      </c>
      <c r="U52" s="257">
        <f>VLOOKUP(I52,'Maturity Rating'!A$14:B$17,2,FALSE)</f>
        <v>1</v>
      </c>
      <c r="V52" s="257">
        <f>VLOOKUP(J52,'Maturity Rating'!A$20:B$23,2,FALSE)</f>
        <v>1</v>
      </c>
      <c r="W52" s="24" t="str">
        <f t="shared" si="1"/>
        <v>1111</v>
      </c>
    </row>
    <row r="53" spans="1:24" ht="23.25" customHeight="1">
      <c r="A53" s="4">
        <v>10.52</v>
      </c>
      <c r="B53" s="359" t="s">
        <v>237</v>
      </c>
      <c r="C53" s="368" t="s">
        <v>429</v>
      </c>
      <c r="D53" s="256"/>
      <c r="E53" s="277" t="s">
        <v>239</v>
      </c>
      <c r="F53" s="256" t="s">
        <v>89</v>
      </c>
      <c r="G53" s="108" t="s">
        <v>127</v>
      </c>
      <c r="H53" s="256" t="s">
        <v>91</v>
      </c>
      <c r="I53" s="256" t="s">
        <v>91</v>
      </c>
      <c r="J53" s="256" t="s">
        <v>91</v>
      </c>
      <c r="K53" s="278">
        <f t="shared" si="0"/>
        <v>1</v>
      </c>
      <c r="L53" s="278">
        <f>IF(AND(D53="K",K53=1),'Maturity Rating'!$E$8,IF(K53="NA",K53,IF(D53="K",K53*'Maturity Rating'!$E$7,K53)))</f>
        <v>1</v>
      </c>
      <c r="M53" s="338">
        <f>IF(X53="NANANANANANANANANA",K53,AVERAGE(L53:L57))</f>
        <v>1.4666666666666668</v>
      </c>
      <c r="N53" s="338">
        <f>IF(M53&lt;1.1,1,IF(M53="NA",M53,(MIN(5,M53/3*5))))</f>
        <v>2.4444444444444446</v>
      </c>
      <c r="O53" s="363" t="str">
        <f>IF(N53="NA",N53,VLOOKUP(Q53,'Maturity Rating'!G4:H8,2,FALSE))</f>
        <v>Partial</v>
      </c>
      <c r="Q53" s="244">
        <f>IF(N53="NA",N53,ROUNDDOWN(N53,0))</f>
        <v>2</v>
      </c>
      <c r="S53" s="257">
        <f>VLOOKUP(G53,'Maturity Rating'!A$2:B$5,2,FALSE)</f>
        <v>1</v>
      </c>
      <c r="T53" s="257" t="str">
        <f>VLOOKUP(H53,'Maturity Rating'!A$8:B$11,2,FALSE)</f>
        <v>NA</v>
      </c>
      <c r="U53" s="257" t="str">
        <f>VLOOKUP(I53,'Maturity Rating'!A$14:B$17,2,FALSE)</f>
        <v>NA</v>
      </c>
      <c r="V53" s="257" t="str">
        <f>VLOOKUP(J53,'Maturity Rating'!A$20:B$23,2,FALSE)</f>
        <v>NA</v>
      </c>
      <c r="W53" s="24" t="str">
        <f t="shared" si="1"/>
        <v>1NANANA</v>
      </c>
      <c r="X53" s="24" t="str">
        <f>CONCATENATE(L53,L54,L55,L56,L57)</f>
        <v>111.52.333333333333331.5</v>
      </c>
    </row>
    <row r="54" spans="1:24" ht="29">
      <c r="A54" s="3">
        <v>10.53</v>
      </c>
      <c r="B54" s="345"/>
      <c r="C54" s="365"/>
      <c r="D54" s="257"/>
      <c r="E54" s="266" t="s">
        <v>430</v>
      </c>
      <c r="F54" s="257" t="s">
        <v>89</v>
      </c>
      <c r="G54" s="79" t="s">
        <v>127</v>
      </c>
      <c r="H54" s="257" t="s">
        <v>95</v>
      </c>
      <c r="I54" s="257" t="s">
        <v>91</v>
      </c>
      <c r="J54" s="257" t="s">
        <v>91</v>
      </c>
      <c r="K54" s="271">
        <f t="shared" si="0"/>
        <v>1</v>
      </c>
      <c r="L54" s="273">
        <f>IF(AND(D54="K",K54=1),'Maturity Rating'!$E$8,IF(K54="NA",K54,IF(D54="K",K54*'Maturity Rating'!$E$7,K54)))</f>
        <v>1</v>
      </c>
      <c r="M54" s="339"/>
      <c r="N54" s="339"/>
      <c r="O54" s="361"/>
      <c r="S54" s="257">
        <f>VLOOKUP(G54,'Maturity Rating'!A$2:B$5,2,FALSE)</f>
        <v>1</v>
      </c>
      <c r="T54" s="257">
        <f>VLOOKUP(H54,'Maturity Rating'!A$8:B$11,2,FALSE)</f>
        <v>1</v>
      </c>
      <c r="U54" s="257" t="str">
        <f>VLOOKUP(I54,'Maturity Rating'!A$14:B$17,2,FALSE)</f>
        <v>NA</v>
      </c>
      <c r="V54" s="257" t="str">
        <f>VLOOKUP(J54,'Maturity Rating'!A$20:B$23,2,FALSE)</f>
        <v>NA</v>
      </c>
      <c r="W54" s="24" t="str">
        <f t="shared" si="1"/>
        <v>11NANA</v>
      </c>
    </row>
    <row r="55" spans="1:24" ht="29">
      <c r="A55" s="3">
        <v>10.54</v>
      </c>
      <c r="B55" s="345"/>
      <c r="C55" s="365"/>
      <c r="D55" s="257"/>
      <c r="E55" s="266" t="s">
        <v>431</v>
      </c>
      <c r="F55" s="257" t="s">
        <v>89</v>
      </c>
      <c r="G55" s="79" t="s">
        <v>127</v>
      </c>
      <c r="H55" s="257" t="s">
        <v>125</v>
      </c>
      <c r="I55" s="257" t="s">
        <v>101</v>
      </c>
      <c r="J55" s="257" t="s">
        <v>102</v>
      </c>
      <c r="K55" s="271">
        <f t="shared" si="0"/>
        <v>1.5</v>
      </c>
      <c r="L55" s="273">
        <f>IF(AND(D55="K",K55=1),'Maturity Rating'!$E$8,IF(K55="NA",K55,IF(D55="K",K55*'Maturity Rating'!$E$7,K55)))</f>
        <v>1.5</v>
      </c>
      <c r="M55" s="339"/>
      <c r="N55" s="339"/>
      <c r="O55" s="361"/>
      <c r="S55" s="257">
        <f>VLOOKUP(G55,'Maturity Rating'!A$2:B$5,2,FALSE)</f>
        <v>1</v>
      </c>
      <c r="T55" s="257">
        <f>VLOOKUP(H55,'Maturity Rating'!A$8:B$11,2,FALSE)</f>
        <v>2</v>
      </c>
      <c r="U55" s="257">
        <f>VLOOKUP(I55,'Maturity Rating'!A$14:B$17,2,FALSE)</f>
        <v>2</v>
      </c>
      <c r="V55" s="257">
        <f>VLOOKUP(J55,'Maturity Rating'!A$20:B$23,2,FALSE)</f>
        <v>1</v>
      </c>
      <c r="W55" s="24" t="str">
        <f t="shared" si="1"/>
        <v>1221</v>
      </c>
    </row>
    <row r="56" spans="1:24">
      <c r="A56" s="74">
        <v>10.55</v>
      </c>
      <c r="B56" s="345"/>
      <c r="C56" s="365"/>
      <c r="D56" s="257"/>
      <c r="E56" s="266" t="s">
        <v>245</v>
      </c>
      <c r="F56" s="257" t="s">
        <v>89</v>
      </c>
      <c r="G56" s="79" t="s">
        <v>127</v>
      </c>
      <c r="H56" s="257" t="s">
        <v>100</v>
      </c>
      <c r="I56" s="257" t="s">
        <v>91</v>
      </c>
      <c r="J56" s="257" t="s">
        <v>129</v>
      </c>
      <c r="K56" s="271">
        <f t="shared" si="0"/>
        <v>2.3333333333333335</v>
      </c>
      <c r="L56" s="273">
        <f>IF(AND(D56="K",K56=1),'Maturity Rating'!$E$8,IF(K56="NA",K56,IF(D56="K",K56*'Maturity Rating'!$E$7,K56)))</f>
        <v>2.3333333333333335</v>
      </c>
      <c r="M56" s="339"/>
      <c r="N56" s="339"/>
      <c r="O56" s="361"/>
      <c r="S56" s="257">
        <f>VLOOKUP(G56,'Maturity Rating'!A$2:B$5,2,FALSE)</f>
        <v>1</v>
      </c>
      <c r="T56" s="257">
        <f>VLOOKUP(H56,'Maturity Rating'!A$8:B$11,2,FALSE)</f>
        <v>3</v>
      </c>
      <c r="U56" s="257" t="str">
        <f>VLOOKUP(I56,'Maturity Rating'!A$14:B$17,2,FALSE)</f>
        <v>NA</v>
      </c>
      <c r="V56" s="257">
        <f>VLOOKUP(J56,'Maturity Rating'!A$20:B$23,2,FALSE)</f>
        <v>3</v>
      </c>
      <c r="W56" s="24" t="str">
        <f t="shared" si="1"/>
        <v>13NA3</v>
      </c>
    </row>
    <row r="57" spans="1:24" ht="29.5" thickBot="1">
      <c r="A57" s="2">
        <v>10.56</v>
      </c>
      <c r="B57" s="347"/>
      <c r="C57" s="367"/>
      <c r="D57" s="259"/>
      <c r="E57" s="268" t="s">
        <v>432</v>
      </c>
      <c r="F57" s="259" t="s">
        <v>89</v>
      </c>
      <c r="G57" s="79" t="s">
        <v>127</v>
      </c>
      <c r="H57" s="259" t="s">
        <v>125</v>
      </c>
      <c r="I57" s="259" t="s">
        <v>101</v>
      </c>
      <c r="J57" s="259" t="s">
        <v>102</v>
      </c>
      <c r="K57" s="272">
        <f t="shared" si="0"/>
        <v>1.5</v>
      </c>
      <c r="L57" s="272">
        <f>IF(AND(D57="K",K57=1),'Maturity Rating'!$E$8,IF(K57="NA",K57,IF(D57="K",K57*'Maturity Rating'!$E$7,K57)))</f>
        <v>1.5</v>
      </c>
      <c r="M57" s="340"/>
      <c r="N57" s="340"/>
      <c r="O57" s="362"/>
      <c r="S57" s="257">
        <f>VLOOKUP(G57,'Maturity Rating'!A$2:B$5,2,FALSE)</f>
        <v>1</v>
      </c>
      <c r="T57" s="257">
        <f>VLOOKUP(H57,'Maturity Rating'!A$8:B$11,2,FALSE)</f>
        <v>2</v>
      </c>
      <c r="U57" s="257">
        <f>VLOOKUP(I57,'Maturity Rating'!A$14:B$17,2,FALSE)</f>
        <v>2</v>
      </c>
      <c r="V57" s="257">
        <f>VLOOKUP(J57,'Maturity Rating'!A$20:B$23,2,FALSE)</f>
        <v>1</v>
      </c>
      <c r="W57" s="24" t="str">
        <f t="shared" si="1"/>
        <v>1221</v>
      </c>
    </row>
    <row r="58" spans="1:24" ht="31.5" customHeight="1">
      <c r="A58" s="4">
        <v>10.57</v>
      </c>
      <c r="B58" s="391" t="s">
        <v>249</v>
      </c>
      <c r="C58" s="368" t="s">
        <v>250</v>
      </c>
      <c r="D58" s="256" t="s">
        <v>87</v>
      </c>
      <c r="E58" s="51" t="s">
        <v>433</v>
      </c>
      <c r="F58" s="256" t="s">
        <v>89</v>
      </c>
      <c r="G58" s="108" t="s">
        <v>127</v>
      </c>
      <c r="H58" s="256" t="s">
        <v>91</v>
      </c>
      <c r="I58" s="256" t="s">
        <v>91</v>
      </c>
      <c r="J58" s="256" t="s">
        <v>91</v>
      </c>
      <c r="K58" s="278">
        <f t="shared" si="0"/>
        <v>1</v>
      </c>
      <c r="L58" s="278">
        <f>IF(AND(D58="K",K58=1),'Maturity Rating'!$E$8,IF(K58="NA",K58,IF(D58="K",K58*'Maturity Rating'!$E$7,K58)))</f>
        <v>0.8</v>
      </c>
      <c r="M58" s="338">
        <f>IF(X58="NANANANANANANANANANANANA",K58,AVERAGE(L58:L67))</f>
        <v>1.4883333333333335</v>
      </c>
      <c r="N58" s="338">
        <f>IF(M58&lt;1.1,1,IF(M58="NA",M58,(MIN(5,M58/3*5))))</f>
        <v>2.4805555555555561</v>
      </c>
      <c r="O58" s="363" t="str">
        <f>IF(N58="NA",N58,VLOOKUP(Q58,'Maturity Rating'!G4:H8,2,FALSE))</f>
        <v>Partial</v>
      </c>
      <c r="Q58" s="244">
        <f>IF(N58="NA",N58,ROUNDDOWN(N58,0))</f>
        <v>2</v>
      </c>
      <c r="S58" s="257">
        <f>VLOOKUP(G58,'Maturity Rating'!A$2:B$5,2,FALSE)</f>
        <v>1</v>
      </c>
      <c r="T58" s="257" t="str">
        <f>VLOOKUP(H58,'Maturity Rating'!A$8:B$11,2,FALSE)</f>
        <v>NA</v>
      </c>
      <c r="U58" s="257" t="str">
        <f>VLOOKUP(I58,'Maturity Rating'!A$14:B$17,2,FALSE)</f>
        <v>NA</v>
      </c>
      <c r="V58" s="257" t="str">
        <f>VLOOKUP(J58,'Maturity Rating'!A$20:B$23,2,FALSE)</f>
        <v>NA</v>
      </c>
      <c r="W58" s="24" t="str">
        <f t="shared" si="1"/>
        <v>1NANANA</v>
      </c>
      <c r="X58" s="24" t="str">
        <f>CONCATENATE(L58,L59,L60,L61,L62,L63,L64,L65,L66,L67)</f>
        <v>0.81121.7511.51.52.333333333333332</v>
      </c>
    </row>
    <row r="59" spans="1:24" ht="29">
      <c r="A59" s="3">
        <v>10.58</v>
      </c>
      <c r="B59" s="392"/>
      <c r="C59" s="365"/>
      <c r="D59" s="257"/>
      <c r="E59" s="266" t="s">
        <v>430</v>
      </c>
      <c r="F59" s="257" t="s">
        <v>89</v>
      </c>
      <c r="G59" s="79" t="s">
        <v>127</v>
      </c>
      <c r="H59" s="257" t="s">
        <v>95</v>
      </c>
      <c r="I59" s="257" t="s">
        <v>91</v>
      </c>
      <c r="J59" s="257" t="s">
        <v>91</v>
      </c>
      <c r="K59" s="271">
        <f t="shared" si="0"/>
        <v>1</v>
      </c>
      <c r="L59" s="273">
        <f>IF(AND(D59="K",K59=1),'Maturity Rating'!$E$8,IF(K59="NA",K59,IF(D59="K",K59*'Maturity Rating'!$E$7,K59)))</f>
        <v>1</v>
      </c>
      <c r="M59" s="339"/>
      <c r="N59" s="339"/>
      <c r="O59" s="361"/>
      <c r="S59" s="257">
        <f>VLOOKUP(G59,'Maturity Rating'!A$2:B$5,2,FALSE)</f>
        <v>1</v>
      </c>
      <c r="T59" s="257">
        <f>VLOOKUP(H59,'Maturity Rating'!A$8:B$11,2,FALSE)</f>
        <v>1</v>
      </c>
      <c r="U59" s="257" t="str">
        <f>VLOOKUP(I59,'Maturity Rating'!A$14:B$17,2,FALSE)</f>
        <v>NA</v>
      </c>
      <c r="V59" s="257" t="str">
        <f>VLOOKUP(J59,'Maturity Rating'!A$20:B$23,2,FALSE)</f>
        <v>NA</v>
      </c>
      <c r="W59" s="24" t="str">
        <f t="shared" ref="W59:W85" si="8">CONCATENATE(S59,T59,U59,V59)</f>
        <v>11NANA</v>
      </c>
    </row>
    <row r="60" spans="1:24" ht="29">
      <c r="A60" s="3">
        <v>10.59</v>
      </c>
      <c r="B60" s="392"/>
      <c r="C60" s="365"/>
      <c r="D60" s="257"/>
      <c r="E60" s="266" t="s">
        <v>434</v>
      </c>
      <c r="F60" s="257" t="s">
        <v>105</v>
      </c>
      <c r="G60" s="79" t="s">
        <v>127</v>
      </c>
      <c r="H60" s="257" t="s">
        <v>95</v>
      </c>
      <c r="I60" s="257" t="s">
        <v>206</v>
      </c>
      <c r="J60" s="257" t="s">
        <v>102</v>
      </c>
      <c r="K60" s="271">
        <f t="shared" si="0"/>
        <v>1</v>
      </c>
      <c r="L60" s="273">
        <f>IF(AND(D60="K",K60=1),'Maturity Rating'!$E$8,IF(K60="NA",K60,IF(D60="K",K60*'Maturity Rating'!$E$7,K60)))</f>
        <v>1</v>
      </c>
      <c r="M60" s="339"/>
      <c r="N60" s="339"/>
      <c r="O60" s="361"/>
      <c r="S60" s="257">
        <f>VLOOKUP(G60,'Maturity Rating'!A$2:B$5,2,FALSE)</f>
        <v>1</v>
      </c>
      <c r="T60" s="257">
        <f>VLOOKUP(H60,'Maturity Rating'!A$8:B$11,2,FALSE)</f>
        <v>1</v>
      </c>
      <c r="U60" s="257">
        <f>VLOOKUP(I60,'Maturity Rating'!A$14:B$17,2,FALSE)</f>
        <v>1</v>
      </c>
      <c r="V60" s="257">
        <f>VLOOKUP(J60,'Maturity Rating'!A$20:B$23,2,FALSE)</f>
        <v>1</v>
      </c>
      <c r="W60" s="24" t="str">
        <f t="shared" si="8"/>
        <v>1111</v>
      </c>
    </row>
    <row r="61" spans="1:24" ht="29">
      <c r="A61" s="3" t="s">
        <v>435</v>
      </c>
      <c r="B61" s="392"/>
      <c r="C61" s="365"/>
      <c r="D61" s="257"/>
      <c r="E61" s="266" t="s">
        <v>253</v>
      </c>
      <c r="F61" s="257" t="s">
        <v>89</v>
      </c>
      <c r="G61" s="79" t="s">
        <v>127</v>
      </c>
      <c r="H61" s="257" t="s">
        <v>100</v>
      </c>
      <c r="I61" s="257" t="s">
        <v>120</v>
      </c>
      <c r="J61" s="257" t="s">
        <v>102</v>
      </c>
      <c r="K61" s="271">
        <f t="shared" si="0"/>
        <v>2</v>
      </c>
      <c r="L61" s="273">
        <f>IF(AND(D61="K",K61=1),'Maturity Rating'!$E$8,IF(K61="NA",K61,IF(D61="K",K61*'Maturity Rating'!$E$7,K61)))</f>
        <v>2</v>
      </c>
      <c r="M61" s="339"/>
      <c r="N61" s="339"/>
      <c r="O61" s="361"/>
      <c r="S61" s="257">
        <f>VLOOKUP(G61,'Maturity Rating'!A$2:B$5,2,FALSE)</f>
        <v>1</v>
      </c>
      <c r="T61" s="257">
        <f>VLOOKUP(H61,'Maturity Rating'!A$8:B$11,2,FALSE)</f>
        <v>3</v>
      </c>
      <c r="U61" s="257">
        <f>VLOOKUP(I61,'Maturity Rating'!A$14:B$17,2,FALSE)</f>
        <v>3</v>
      </c>
      <c r="V61" s="257">
        <f>VLOOKUP(J61,'Maturity Rating'!A$20:B$23,2,FALSE)</f>
        <v>1</v>
      </c>
      <c r="W61" s="24" t="str">
        <f t="shared" si="8"/>
        <v>1331</v>
      </c>
    </row>
    <row r="62" spans="1:24" ht="29">
      <c r="A62" s="3">
        <v>10.61</v>
      </c>
      <c r="B62" s="392"/>
      <c r="C62" s="365"/>
      <c r="D62" s="257"/>
      <c r="E62" s="266" t="s">
        <v>257</v>
      </c>
      <c r="F62" s="257" t="s">
        <v>89</v>
      </c>
      <c r="G62" s="79" t="s">
        <v>127</v>
      </c>
      <c r="H62" s="257" t="s">
        <v>100</v>
      </c>
      <c r="I62" s="257" t="s">
        <v>101</v>
      </c>
      <c r="J62" s="257" t="s">
        <v>102</v>
      </c>
      <c r="K62" s="271">
        <f t="shared" si="0"/>
        <v>1.75</v>
      </c>
      <c r="L62" s="273">
        <f>IF(AND(D62="K",K62=1),'Maturity Rating'!$E$8,IF(K62="NA",K62,IF(D62="K",K62*'Maturity Rating'!$E$7,K62)))</f>
        <v>1.75</v>
      </c>
      <c r="M62" s="339"/>
      <c r="N62" s="339"/>
      <c r="O62" s="361"/>
      <c r="S62" s="257">
        <f>VLOOKUP(G62,'Maturity Rating'!A$2:B$5,2,FALSE)</f>
        <v>1</v>
      </c>
      <c r="T62" s="257">
        <f>VLOOKUP(H62,'Maturity Rating'!A$8:B$11,2,FALSE)</f>
        <v>3</v>
      </c>
      <c r="U62" s="257">
        <f>VLOOKUP(I62,'Maturity Rating'!A$14:B$17,2,FALSE)</f>
        <v>2</v>
      </c>
      <c r="V62" s="257">
        <f>VLOOKUP(J62,'Maturity Rating'!A$20:B$23,2,FALSE)</f>
        <v>1</v>
      </c>
      <c r="W62" s="24" t="str">
        <f t="shared" si="8"/>
        <v>1321</v>
      </c>
    </row>
    <row r="63" spans="1:24" ht="29">
      <c r="A63" s="3">
        <v>10.62</v>
      </c>
      <c r="B63" s="392"/>
      <c r="C63" s="365"/>
      <c r="D63" s="257"/>
      <c r="E63" s="266" t="s">
        <v>436</v>
      </c>
      <c r="F63" s="180" t="s">
        <v>89</v>
      </c>
      <c r="G63" s="79" t="s">
        <v>127</v>
      </c>
      <c r="H63" s="257" t="s">
        <v>95</v>
      </c>
      <c r="I63" s="257" t="s">
        <v>206</v>
      </c>
      <c r="J63" s="257" t="s">
        <v>102</v>
      </c>
      <c r="K63" s="271">
        <f t="shared" si="0"/>
        <v>1</v>
      </c>
      <c r="L63" s="273">
        <f>IF(AND(D63="K",K63=1),'Maturity Rating'!$E$8,IF(K63="NA",K63,IF(D63="K",K63*'Maturity Rating'!$E$7,K63)))</f>
        <v>1</v>
      </c>
      <c r="M63" s="339"/>
      <c r="N63" s="339"/>
      <c r="O63" s="361"/>
      <c r="S63" s="257">
        <f>VLOOKUP(G63,'Maturity Rating'!A$2:B$5,2,FALSE)</f>
        <v>1</v>
      </c>
      <c r="T63" s="257">
        <f>VLOOKUP(H63,'Maturity Rating'!A$8:B$11,2,FALSE)</f>
        <v>1</v>
      </c>
      <c r="U63" s="257">
        <f>VLOOKUP(I63,'Maturity Rating'!A$14:B$17,2,FALSE)</f>
        <v>1</v>
      </c>
      <c r="V63" s="257">
        <f>VLOOKUP(J63,'Maturity Rating'!A$20:B$23,2,FALSE)</f>
        <v>1</v>
      </c>
      <c r="W63" s="24" t="str">
        <f t="shared" si="8"/>
        <v>1111</v>
      </c>
    </row>
    <row r="64" spans="1:24" ht="29">
      <c r="A64" s="3">
        <v>10.63</v>
      </c>
      <c r="B64" s="392"/>
      <c r="C64" s="365"/>
      <c r="D64" s="257"/>
      <c r="E64" s="266" t="s">
        <v>437</v>
      </c>
      <c r="F64" s="180" t="s">
        <v>89</v>
      </c>
      <c r="G64" s="79" t="s">
        <v>127</v>
      </c>
      <c r="H64" s="257" t="s">
        <v>100</v>
      </c>
      <c r="I64" s="257" t="s">
        <v>206</v>
      </c>
      <c r="J64" s="257" t="s">
        <v>102</v>
      </c>
      <c r="K64" s="271">
        <f t="shared" si="0"/>
        <v>1.5</v>
      </c>
      <c r="L64" s="273">
        <f>IF(AND(D64="K",K64=1),'Maturity Rating'!$E$8,IF(K64="NA",K64,IF(D64="K",K64*'Maturity Rating'!$E$7,K64)))</f>
        <v>1.5</v>
      </c>
      <c r="M64" s="339"/>
      <c r="N64" s="339"/>
      <c r="O64" s="361"/>
      <c r="S64" s="257">
        <f>VLOOKUP(G64,'Maturity Rating'!A$2:B$5,2,FALSE)</f>
        <v>1</v>
      </c>
      <c r="T64" s="257">
        <f>VLOOKUP(H64,'Maturity Rating'!A$8:B$11,2,FALSE)</f>
        <v>3</v>
      </c>
      <c r="U64" s="257">
        <f>VLOOKUP(I64,'Maturity Rating'!A$14:B$17,2,FALSE)</f>
        <v>1</v>
      </c>
      <c r="V64" s="257">
        <f>VLOOKUP(J64,'Maturity Rating'!A$20:B$23,2,FALSE)</f>
        <v>1</v>
      </c>
      <c r="W64" s="24" t="str">
        <f t="shared" si="8"/>
        <v>1311</v>
      </c>
    </row>
    <row r="65" spans="1:24" ht="29">
      <c r="A65" s="3">
        <v>10.64</v>
      </c>
      <c r="B65" s="392"/>
      <c r="C65" s="365"/>
      <c r="D65" s="257"/>
      <c r="E65" s="266" t="s">
        <v>438</v>
      </c>
      <c r="F65" s="180" t="s">
        <v>89</v>
      </c>
      <c r="G65" s="79" t="s">
        <v>127</v>
      </c>
      <c r="H65" s="257" t="s">
        <v>100</v>
      </c>
      <c r="I65" s="257" t="s">
        <v>206</v>
      </c>
      <c r="J65" s="257" t="s">
        <v>102</v>
      </c>
      <c r="K65" s="271">
        <f t="shared" si="0"/>
        <v>1.5</v>
      </c>
      <c r="L65" s="273">
        <f>IF(AND(D65="K",K65=1),'Maturity Rating'!$E$8,IF(K65="NA",K65,IF(D65="K",K65*'Maturity Rating'!$E$7,K65)))</f>
        <v>1.5</v>
      </c>
      <c r="M65" s="339"/>
      <c r="N65" s="339"/>
      <c r="O65" s="361"/>
      <c r="S65" s="257">
        <f>VLOOKUP(G65,'Maturity Rating'!A$2:B$5,2,FALSE)</f>
        <v>1</v>
      </c>
      <c r="T65" s="257">
        <f>VLOOKUP(H65,'Maturity Rating'!A$8:B$11,2,FALSE)</f>
        <v>3</v>
      </c>
      <c r="U65" s="257">
        <f>VLOOKUP(I65,'Maturity Rating'!A$14:B$17,2,FALSE)</f>
        <v>1</v>
      </c>
      <c r="V65" s="257">
        <f>VLOOKUP(J65,'Maturity Rating'!A$20:B$23,2,FALSE)</f>
        <v>1</v>
      </c>
      <c r="W65" s="24" t="str">
        <f t="shared" si="8"/>
        <v>1311</v>
      </c>
    </row>
    <row r="66" spans="1:24" ht="28.5" customHeight="1">
      <c r="A66" s="3">
        <v>10.65</v>
      </c>
      <c r="B66" s="392"/>
      <c r="C66" s="365"/>
      <c r="D66" s="257"/>
      <c r="E66" s="266" t="s">
        <v>277</v>
      </c>
      <c r="F66" s="180" t="s">
        <v>89</v>
      </c>
      <c r="G66" s="79" t="s">
        <v>127</v>
      </c>
      <c r="H66" s="257" t="s">
        <v>100</v>
      </c>
      <c r="I66" s="257" t="s">
        <v>91</v>
      </c>
      <c r="J66" s="257" t="s">
        <v>129</v>
      </c>
      <c r="K66" s="271">
        <f t="shared" si="0"/>
        <v>2.3333333333333335</v>
      </c>
      <c r="L66" s="273">
        <f>IF(AND(D66="K",K66=1),'Maturity Rating'!$E$8,IF(K66="NA",K66,IF(D66="K",K66*'Maturity Rating'!$E$7,K66)))</f>
        <v>2.3333333333333335</v>
      </c>
      <c r="M66" s="339"/>
      <c r="N66" s="339"/>
      <c r="O66" s="361"/>
      <c r="S66" s="257">
        <f>VLOOKUP(G66,'Maturity Rating'!A$2:B$5,2,FALSE)</f>
        <v>1</v>
      </c>
      <c r="T66" s="257">
        <f>VLOOKUP(H66,'Maturity Rating'!A$8:B$11,2,FALSE)</f>
        <v>3</v>
      </c>
      <c r="U66" s="257" t="str">
        <f>VLOOKUP(I66,'Maturity Rating'!A$14:B$17,2,FALSE)</f>
        <v>NA</v>
      </c>
      <c r="V66" s="257">
        <f>VLOOKUP(J66,'Maturity Rating'!A$20:B$23,2,FALSE)</f>
        <v>3</v>
      </c>
      <c r="W66" s="24" t="str">
        <f t="shared" si="8"/>
        <v>13NA3</v>
      </c>
    </row>
    <row r="67" spans="1:24" ht="29.5" thickBot="1">
      <c r="A67" s="2">
        <v>10.66</v>
      </c>
      <c r="B67" s="394"/>
      <c r="C67" s="367"/>
      <c r="D67" s="259"/>
      <c r="E67" s="268" t="s">
        <v>439</v>
      </c>
      <c r="F67" s="61" t="s">
        <v>89</v>
      </c>
      <c r="G67" s="79" t="s">
        <v>127</v>
      </c>
      <c r="H67" s="259" t="s">
        <v>100</v>
      </c>
      <c r="I67" s="259" t="s">
        <v>120</v>
      </c>
      <c r="J67" s="259" t="s">
        <v>102</v>
      </c>
      <c r="K67" s="272">
        <f t="shared" si="0"/>
        <v>2</v>
      </c>
      <c r="L67" s="272">
        <f>IF(AND(D67="K",K67=1),'Maturity Rating'!$E$8,IF(K67="NA",K67,IF(D67="K",K67*'Maturity Rating'!$E$7,K67)))</f>
        <v>2</v>
      </c>
      <c r="M67" s="340"/>
      <c r="N67" s="340"/>
      <c r="O67" s="362"/>
      <c r="S67" s="257">
        <f>VLOOKUP(G67,'Maturity Rating'!A$2:B$5,2,FALSE)</f>
        <v>1</v>
      </c>
      <c r="T67" s="257">
        <f>VLOOKUP(H67,'Maturity Rating'!A$8:B$11,2,FALSE)</f>
        <v>3</v>
      </c>
      <c r="U67" s="257">
        <f>VLOOKUP(I67,'Maturity Rating'!A$14:B$17,2,FALSE)</f>
        <v>3</v>
      </c>
      <c r="V67" s="257">
        <f>VLOOKUP(J67,'Maturity Rating'!A$20:B$23,2,FALSE)</f>
        <v>1</v>
      </c>
      <c r="W67" s="24" t="str">
        <f t="shared" si="8"/>
        <v>1331</v>
      </c>
    </row>
    <row r="68" spans="1:24" ht="24.75" customHeight="1">
      <c r="A68" s="4">
        <v>10.67</v>
      </c>
      <c r="B68" s="359" t="s">
        <v>440</v>
      </c>
      <c r="C68" s="368" t="s">
        <v>441</v>
      </c>
      <c r="D68" s="256"/>
      <c r="E68" s="277" t="s">
        <v>442</v>
      </c>
      <c r="F68" s="73" t="s">
        <v>89</v>
      </c>
      <c r="G68" s="108" t="s">
        <v>127</v>
      </c>
      <c r="H68" s="256" t="s">
        <v>91</v>
      </c>
      <c r="I68" s="256" t="s">
        <v>91</v>
      </c>
      <c r="J68" s="256" t="s">
        <v>91</v>
      </c>
      <c r="K68" s="278">
        <f t="shared" ref="K68:K85" si="9">IF(W68="NANANANA",S68,IF(AND(OR(G68="Formally Documented",G68="Informally Documented"),H68="Not Implemented"),0.5*AVERAGE(S68:V68),AVERAGE(S68:V68)))</f>
        <v>1</v>
      </c>
      <c r="L68" s="278">
        <f>IF(AND(D68="K",K68=1),'Maturity Rating'!$E$8,IF(K68="NA",K68,IF(D68="K",K68*'Maturity Rating'!$E$7,K68)))</f>
        <v>1</v>
      </c>
      <c r="M68" s="338">
        <f>IF(X68="NANANANANANA",K68,AVERAGE(L68:L74))</f>
        <v>1.6904761904761905</v>
      </c>
      <c r="N68" s="338">
        <f>IF(M68&lt;1.1,1,IF(M68="NA",M68,(MIN(5,M68/3*5))))</f>
        <v>2.8174603174603172</v>
      </c>
      <c r="O68" s="363" t="str">
        <f>IF(N68="NA",N68,VLOOKUP(Q68,'Maturity Rating'!G4:H8,2,FALSE))</f>
        <v>Partial</v>
      </c>
      <c r="Q68" s="244">
        <f>IF(N68="NA",N68,ROUNDDOWN(N68,0))</f>
        <v>2</v>
      </c>
      <c r="S68" s="257">
        <f>VLOOKUP(G68,'Maturity Rating'!A$2:B$5,2,FALSE)</f>
        <v>1</v>
      </c>
      <c r="T68" s="257" t="str">
        <f>VLOOKUP(H68,'Maturity Rating'!A$8:B$11,2,FALSE)</f>
        <v>NA</v>
      </c>
      <c r="U68" s="257" t="str">
        <f>VLOOKUP(I68,'Maturity Rating'!A$14:B$17,2,FALSE)</f>
        <v>NA</v>
      </c>
      <c r="V68" s="257" t="str">
        <f>VLOOKUP(J68,'Maturity Rating'!A$20:B$23,2,FALSE)</f>
        <v>NA</v>
      </c>
      <c r="W68" s="24" t="str">
        <f t="shared" si="8"/>
        <v>1NANANA</v>
      </c>
      <c r="X68" s="24" t="str">
        <f>CONCATENATE(L68,L69,L70,L71,L72,L73,L74,)</f>
        <v>1132.333333333333332.511</v>
      </c>
    </row>
    <row r="69" spans="1:24" ht="29">
      <c r="A69" s="3">
        <v>10.68</v>
      </c>
      <c r="B69" s="345"/>
      <c r="C69" s="365"/>
      <c r="D69" s="257"/>
      <c r="E69" s="266" t="s">
        <v>430</v>
      </c>
      <c r="F69" s="180" t="s">
        <v>89</v>
      </c>
      <c r="G69" s="79" t="s">
        <v>127</v>
      </c>
      <c r="H69" s="257" t="s">
        <v>95</v>
      </c>
      <c r="I69" s="257" t="s">
        <v>91</v>
      </c>
      <c r="J69" s="257" t="s">
        <v>91</v>
      </c>
      <c r="K69" s="271">
        <f t="shared" si="9"/>
        <v>1</v>
      </c>
      <c r="L69" s="273">
        <f>IF(AND(D69="K",K69=1),'Maturity Rating'!$E$8,IF(K69="NA",K69,IF(D69="K",K69*'Maturity Rating'!$E$7,K69)))</f>
        <v>1</v>
      </c>
      <c r="M69" s="339"/>
      <c r="N69" s="339"/>
      <c r="O69" s="361"/>
      <c r="S69" s="257">
        <f>VLOOKUP(G69,'Maturity Rating'!A$2:B$5,2,FALSE)</f>
        <v>1</v>
      </c>
      <c r="T69" s="257">
        <f>VLOOKUP(H69,'Maturity Rating'!A$8:B$11,2,FALSE)</f>
        <v>1</v>
      </c>
      <c r="U69" s="257" t="str">
        <f>VLOOKUP(I69,'Maturity Rating'!A$14:B$17,2,FALSE)</f>
        <v>NA</v>
      </c>
      <c r="V69" s="257" t="str">
        <f>VLOOKUP(J69,'Maturity Rating'!A$20:B$23,2,FALSE)</f>
        <v>NA</v>
      </c>
      <c r="W69" s="24" t="str">
        <f t="shared" si="8"/>
        <v>11NANA</v>
      </c>
    </row>
    <row r="70" spans="1:24">
      <c r="A70" s="3">
        <v>10.69</v>
      </c>
      <c r="B70" s="345"/>
      <c r="C70" s="365"/>
      <c r="D70" s="257" t="s">
        <v>87</v>
      </c>
      <c r="E70" s="52" t="s">
        <v>443</v>
      </c>
      <c r="F70" s="180" t="s">
        <v>89</v>
      </c>
      <c r="G70" s="79" t="s">
        <v>127</v>
      </c>
      <c r="H70" s="257" t="s">
        <v>100</v>
      </c>
      <c r="I70" s="257" t="s">
        <v>120</v>
      </c>
      <c r="J70" s="257" t="s">
        <v>129</v>
      </c>
      <c r="K70" s="271">
        <f t="shared" si="9"/>
        <v>2.5</v>
      </c>
      <c r="L70" s="273">
        <f>IF(AND(D70="K",K70=1),'Maturity Rating'!$E$8,IF(K70="NA",K70,IF(D70="K",K70*'Maturity Rating'!$E$7,K70)))</f>
        <v>3</v>
      </c>
      <c r="M70" s="339"/>
      <c r="N70" s="339"/>
      <c r="O70" s="361"/>
      <c r="S70" s="257">
        <f>VLOOKUP(G70,'Maturity Rating'!A$2:B$5,2,FALSE)</f>
        <v>1</v>
      </c>
      <c r="T70" s="257">
        <f>VLOOKUP(H70,'Maturity Rating'!A$8:B$11,2,FALSE)</f>
        <v>3</v>
      </c>
      <c r="U70" s="257">
        <f>VLOOKUP(I70,'Maturity Rating'!A$14:B$17,2,FALSE)</f>
        <v>3</v>
      </c>
      <c r="V70" s="257">
        <f>VLOOKUP(J70,'Maturity Rating'!A$20:B$23,2,FALSE)</f>
        <v>3</v>
      </c>
      <c r="W70" s="24" t="str">
        <f t="shared" si="8"/>
        <v>1333</v>
      </c>
    </row>
    <row r="71" spans="1:24" ht="29">
      <c r="A71" s="3" t="s">
        <v>444</v>
      </c>
      <c r="B71" s="345"/>
      <c r="C71" s="365"/>
      <c r="D71" s="257"/>
      <c r="E71" s="266" t="s">
        <v>445</v>
      </c>
      <c r="F71" s="180" t="s">
        <v>105</v>
      </c>
      <c r="G71" s="79" t="s">
        <v>127</v>
      </c>
      <c r="H71" s="257" t="s">
        <v>100</v>
      </c>
      <c r="I71" s="257" t="s">
        <v>91</v>
      </c>
      <c r="J71" s="257" t="s">
        <v>129</v>
      </c>
      <c r="K71" s="271">
        <f t="shared" si="9"/>
        <v>2.3333333333333335</v>
      </c>
      <c r="L71" s="273">
        <f>IF(AND(D71="K",K71=1),'Maturity Rating'!$E$8,IF(K71="NA",K71,IF(D71="K",K71*'Maturity Rating'!$E$7,K71)))</f>
        <v>2.3333333333333335</v>
      </c>
      <c r="M71" s="339"/>
      <c r="N71" s="339"/>
      <c r="O71" s="361"/>
      <c r="S71" s="257">
        <f>VLOOKUP(G71,'Maturity Rating'!A$2:B$5,2,FALSE)</f>
        <v>1</v>
      </c>
      <c r="T71" s="257">
        <f>VLOOKUP(H71,'Maturity Rating'!A$8:B$11,2,FALSE)</f>
        <v>3</v>
      </c>
      <c r="U71" s="257" t="str">
        <f>VLOOKUP(I71,'Maturity Rating'!A$14:B$17,2,FALSE)</f>
        <v>NA</v>
      </c>
      <c r="V71" s="257">
        <f>VLOOKUP(J71,'Maturity Rating'!A$20:B$23,2,FALSE)</f>
        <v>3</v>
      </c>
      <c r="W71" s="24" t="str">
        <f t="shared" si="8"/>
        <v>13NA3</v>
      </c>
    </row>
    <row r="72" spans="1:24">
      <c r="A72" s="3">
        <v>10.71</v>
      </c>
      <c r="B72" s="345"/>
      <c r="C72" s="365"/>
      <c r="D72" s="257"/>
      <c r="E72" s="266" t="s">
        <v>446</v>
      </c>
      <c r="F72" s="114" t="s">
        <v>105</v>
      </c>
      <c r="G72" s="79" t="s">
        <v>127</v>
      </c>
      <c r="H72" s="257" t="s">
        <v>100</v>
      </c>
      <c r="I72" s="257" t="s">
        <v>120</v>
      </c>
      <c r="J72" s="257" t="s">
        <v>129</v>
      </c>
      <c r="K72" s="271">
        <f t="shared" si="9"/>
        <v>2.5</v>
      </c>
      <c r="L72" s="273">
        <f>IF(AND(D72="K",K72=1),'Maturity Rating'!$E$8,IF(K72="NA",K72,IF(D72="K",K72*'Maturity Rating'!$E$7,K72)))</f>
        <v>2.5</v>
      </c>
      <c r="M72" s="339"/>
      <c r="N72" s="339"/>
      <c r="O72" s="361"/>
      <c r="S72" s="257">
        <f>VLOOKUP(G72,'Maturity Rating'!A$2:B$5,2,FALSE)</f>
        <v>1</v>
      </c>
      <c r="T72" s="257">
        <f>VLOOKUP(H72,'Maturity Rating'!A$8:B$11,2,FALSE)</f>
        <v>3</v>
      </c>
      <c r="U72" s="257">
        <f>VLOOKUP(I72,'Maturity Rating'!A$14:B$17,2,FALSE)</f>
        <v>3</v>
      </c>
      <c r="V72" s="257">
        <f>VLOOKUP(J72,'Maturity Rating'!A$20:B$23,2,FALSE)</f>
        <v>3</v>
      </c>
      <c r="W72" s="24" t="str">
        <f t="shared" si="8"/>
        <v>1333</v>
      </c>
    </row>
    <row r="73" spans="1:24" ht="29">
      <c r="A73" s="3">
        <v>10.72</v>
      </c>
      <c r="B73" s="346"/>
      <c r="C73" s="366"/>
      <c r="D73" s="258"/>
      <c r="E73" s="267" t="s">
        <v>447</v>
      </c>
      <c r="F73" s="180" t="s">
        <v>89</v>
      </c>
      <c r="G73" s="79" t="s">
        <v>127</v>
      </c>
      <c r="H73" s="257" t="s">
        <v>95</v>
      </c>
      <c r="I73" s="257" t="s">
        <v>206</v>
      </c>
      <c r="J73" s="257" t="s">
        <v>102</v>
      </c>
      <c r="K73" s="271">
        <f t="shared" ref="K73" si="10">IF(W73="NANANANA",S73,IF(AND(OR(G73="Formally Documented",G73="Informally Documented"),H73="Not Implemented"),0.5*AVERAGE(S73:V73),AVERAGE(S73:V73)))</f>
        <v>1</v>
      </c>
      <c r="L73" s="273">
        <f>IF(AND(D73="K",K73=1),'Maturity Rating'!$E$8,IF(K73="NA",K73,IF(D73="K",K73*'Maturity Rating'!$E$7,K73)))</f>
        <v>1</v>
      </c>
      <c r="M73" s="339"/>
      <c r="N73" s="339"/>
      <c r="O73" s="361"/>
      <c r="S73" s="257">
        <f>VLOOKUP(G73,'Maturity Rating'!A$2:B$5,2,FALSE)</f>
        <v>1</v>
      </c>
      <c r="T73" s="257">
        <f>VLOOKUP(H73,'Maturity Rating'!A$8:B$11,2,FALSE)</f>
        <v>1</v>
      </c>
      <c r="U73" s="257">
        <f>VLOOKUP(I73,'Maturity Rating'!A$14:B$17,2,FALSE)</f>
        <v>1</v>
      </c>
      <c r="V73" s="257">
        <f>VLOOKUP(J73,'Maturity Rating'!A$20:B$23,2,FALSE)</f>
        <v>1</v>
      </c>
      <c r="W73" s="24" t="str">
        <f t="shared" ref="W73" si="11">CONCATENATE(S73,T73,U73,V73)</f>
        <v>1111</v>
      </c>
    </row>
    <row r="74" spans="1:24" ht="29.5" thickBot="1">
      <c r="A74" s="2">
        <v>10.73</v>
      </c>
      <c r="B74" s="347"/>
      <c r="C74" s="367"/>
      <c r="D74" s="259"/>
      <c r="E74" s="268" t="s">
        <v>448</v>
      </c>
      <c r="F74" s="115" t="s">
        <v>89</v>
      </c>
      <c r="G74" s="79" t="s">
        <v>127</v>
      </c>
      <c r="H74" s="259" t="s">
        <v>95</v>
      </c>
      <c r="I74" s="259" t="s">
        <v>206</v>
      </c>
      <c r="J74" s="259" t="s">
        <v>102</v>
      </c>
      <c r="K74" s="272">
        <f t="shared" si="9"/>
        <v>1</v>
      </c>
      <c r="L74" s="272">
        <f>IF(AND(D74="K",K74=1),'Maturity Rating'!$E$8,IF(K74="NA",K74,IF(D74="K",K74*'Maturity Rating'!$E$7,K74)))</f>
        <v>1</v>
      </c>
      <c r="M74" s="340"/>
      <c r="N74" s="340"/>
      <c r="O74" s="362"/>
      <c r="S74" s="257">
        <f>VLOOKUP(G74,'Maturity Rating'!A$2:B$5,2,FALSE)</f>
        <v>1</v>
      </c>
      <c r="T74" s="257">
        <f>VLOOKUP(H74,'Maturity Rating'!A$8:B$11,2,FALSE)</f>
        <v>1</v>
      </c>
      <c r="U74" s="257">
        <f>VLOOKUP(I74,'Maturity Rating'!A$14:B$17,2,FALSE)</f>
        <v>1</v>
      </c>
      <c r="V74" s="257">
        <f>VLOOKUP(J74,'Maturity Rating'!A$20:B$23,2,FALSE)</f>
        <v>1</v>
      </c>
      <c r="W74" s="24" t="str">
        <f t="shared" si="8"/>
        <v>1111</v>
      </c>
    </row>
    <row r="75" spans="1:24" ht="43.5">
      <c r="A75" s="4">
        <v>10.74</v>
      </c>
      <c r="B75" s="391" t="s">
        <v>449</v>
      </c>
      <c r="C75" s="368" t="s">
        <v>450</v>
      </c>
      <c r="D75" s="256"/>
      <c r="E75" s="281" t="s">
        <v>451</v>
      </c>
      <c r="F75" s="113" t="s">
        <v>89</v>
      </c>
      <c r="G75" s="108" t="s">
        <v>127</v>
      </c>
      <c r="H75" s="256" t="s">
        <v>100</v>
      </c>
      <c r="I75" s="256" t="s">
        <v>206</v>
      </c>
      <c r="J75" s="256" t="s">
        <v>129</v>
      </c>
      <c r="K75" s="278">
        <f t="shared" si="9"/>
        <v>2</v>
      </c>
      <c r="L75" s="278">
        <f>IF(AND(D75="K",K75=1),'Maturity Rating'!$E$8,IF(K75="NA",K75,IF(D75="K",K75*'Maturity Rating'!$E$7,K75)))</f>
        <v>2</v>
      </c>
      <c r="M75" s="338">
        <f>IF(X75="NANANANANA",K75,AVERAGE(L75:L83))</f>
        <v>1.7777777777777777</v>
      </c>
      <c r="N75" s="338">
        <f>IF(M75&lt;1.1,1,IF(M75="NA",M75,(MIN(5,M75/3*5))))</f>
        <v>2.9629629629629628</v>
      </c>
      <c r="O75" s="363" t="str">
        <f>IF(N75="NA",N75,VLOOKUP(Q75,'Maturity Rating'!G4:H8,2,FALSE))</f>
        <v>Partial</v>
      </c>
      <c r="Q75" s="244">
        <f>IF(N75="NA",N75,ROUNDDOWN(N75,0))</f>
        <v>2</v>
      </c>
      <c r="S75" s="257">
        <f>VLOOKUP(G75,'Maturity Rating'!A$2:B$5,2,FALSE)</f>
        <v>1</v>
      </c>
      <c r="T75" s="257">
        <f>VLOOKUP(H75,'Maturity Rating'!A$8:B$11,2,FALSE)</f>
        <v>3</v>
      </c>
      <c r="U75" s="257">
        <f>VLOOKUP(I75,'Maturity Rating'!A$14:B$17,2,FALSE)</f>
        <v>1</v>
      </c>
      <c r="V75" s="257">
        <f>VLOOKUP(J75,'Maturity Rating'!A$20:B$23,2,FALSE)</f>
        <v>3</v>
      </c>
      <c r="W75" s="24" t="str">
        <f t="shared" si="8"/>
        <v>1313</v>
      </c>
      <c r="X75" s="24" t="str">
        <f>CONCATENATE(L75,L76,L77,L78,L79,L80,L81,L82,L83)</f>
        <v>212.52.5112.512.5</v>
      </c>
    </row>
    <row r="76" spans="1:24" ht="29">
      <c r="A76" s="3">
        <v>10.75</v>
      </c>
      <c r="B76" s="392"/>
      <c r="C76" s="365"/>
      <c r="D76" s="257"/>
      <c r="E76" s="191" t="s">
        <v>452</v>
      </c>
      <c r="F76" s="114" t="s">
        <v>89</v>
      </c>
      <c r="G76" s="79" t="s">
        <v>127</v>
      </c>
      <c r="H76" s="257" t="s">
        <v>95</v>
      </c>
      <c r="I76" s="263" t="s">
        <v>206</v>
      </c>
      <c r="J76" s="263" t="s">
        <v>102</v>
      </c>
      <c r="K76" s="271">
        <f t="shared" si="9"/>
        <v>1</v>
      </c>
      <c r="L76" s="273">
        <f>IF(AND(D76="K",K76=1),'Maturity Rating'!$E$8,IF(K76="NA",K76,IF(D76="K",K76*'Maturity Rating'!$E$7,K76)))</f>
        <v>1</v>
      </c>
      <c r="M76" s="339"/>
      <c r="N76" s="339"/>
      <c r="O76" s="361"/>
      <c r="S76" s="257">
        <f>VLOOKUP(G76,'Maturity Rating'!A$2:B$5,2,FALSE)</f>
        <v>1</v>
      </c>
      <c r="T76" s="257">
        <f>VLOOKUP(H76,'Maturity Rating'!A$8:B$11,2,FALSE)</f>
        <v>1</v>
      </c>
      <c r="U76" s="257">
        <f>VLOOKUP(I76,'Maturity Rating'!A$14:B$17,2,FALSE)</f>
        <v>1</v>
      </c>
      <c r="V76" s="257">
        <f>VLOOKUP(J76,'Maturity Rating'!A$20:B$23,2,FALSE)</f>
        <v>1</v>
      </c>
      <c r="W76" s="24" t="str">
        <f t="shared" si="8"/>
        <v>1111</v>
      </c>
    </row>
    <row r="77" spans="1:24">
      <c r="A77" s="3">
        <v>10.76</v>
      </c>
      <c r="B77" s="392"/>
      <c r="C77" s="365"/>
      <c r="D77" s="257"/>
      <c r="E77" s="191" t="s">
        <v>453</v>
      </c>
      <c r="F77" s="114" t="s">
        <v>89</v>
      </c>
      <c r="G77" s="79" t="s">
        <v>127</v>
      </c>
      <c r="H77" s="257" t="s">
        <v>100</v>
      </c>
      <c r="I77" s="263" t="s">
        <v>120</v>
      </c>
      <c r="J77" s="263" t="s">
        <v>129</v>
      </c>
      <c r="K77" s="271">
        <f t="shared" si="9"/>
        <v>2.5</v>
      </c>
      <c r="L77" s="273">
        <f>IF(AND(D77="K",K77=1),'Maturity Rating'!$E$8,IF(K77="NA",K77,IF(D77="K",K77*'Maturity Rating'!$E$7,K77)))</f>
        <v>2.5</v>
      </c>
      <c r="M77" s="339"/>
      <c r="N77" s="339"/>
      <c r="O77" s="361"/>
      <c r="S77" s="257">
        <f>VLOOKUP(G77,'Maturity Rating'!A$2:B$5,2,FALSE)</f>
        <v>1</v>
      </c>
      <c r="T77" s="257">
        <f>VLOOKUP(H77,'Maturity Rating'!A$8:B$11,2,FALSE)</f>
        <v>3</v>
      </c>
      <c r="U77" s="257">
        <f>VLOOKUP(I77,'Maturity Rating'!A$14:B$17,2,FALSE)</f>
        <v>3</v>
      </c>
      <c r="V77" s="257">
        <f>VLOOKUP(J77,'Maturity Rating'!A$20:B$23,2,FALSE)</f>
        <v>3</v>
      </c>
      <c r="W77" s="24" t="str">
        <f t="shared" si="8"/>
        <v>1333</v>
      </c>
    </row>
    <row r="78" spans="1:24" ht="29">
      <c r="A78" s="3">
        <v>10.77</v>
      </c>
      <c r="B78" s="392"/>
      <c r="C78" s="365"/>
      <c r="D78" s="257"/>
      <c r="E78" s="191" t="s">
        <v>454</v>
      </c>
      <c r="F78" s="114" t="s">
        <v>89</v>
      </c>
      <c r="G78" s="79" t="s">
        <v>127</v>
      </c>
      <c r="H78" s="257" t="s">
        <v>100</v>
      </c>
      <c r="I78" s="263" t="s">
        <v>120</v>
      </c>
      <c r="J78" s="263" t="s">
        <v>129</v>
      </c>
      <c r="K78" s="271">
        <f t="shared" si="9"/>
        <v>2.5</v>
      </c>
      <c r="L78" s="273">
        <f>IF(AND(D78="K",K78=1),'Maturity Rating'!$E$8,IF(K78="NA",K78,IF(D78="K",K78*'Maturity Rating'!$E$7,K78)))</f>
        <v>2.5</v>
      </c>
      <c r="M78" s="339"/>
      <c r="N78" s="339"/>
      <c r="O78" s="361"/>
      <c r="S78" s="257">
        <f>VLOOKUP(G78,'Maturity Rating'!A$2:B$5,2,FALSE)</f>
        <v>1</v>
      </c>
      <c r="T78" s="257">
        <f>VLOOKUP(H78,'Maturity Rating'!A$8:B$11,2,FALSE)</f>
        <v>3</v>
      </c>
      <c r="U78" s="257">
        <f>VLOOKUP(I78,'Maturity Rating'!A$14:B$17,2,FALSE)</f>
        <v>3</v>
      </c>
      <c r="V78" s="257">
        <f>VLOOKUP(J78,'Maturity Rating'!A$20:B$23,2,FALSE)</f>
        <v>3</v>
      </c>
      <c r="W78" s="24" t="str">
        <f t="shared" si="8"/>
        <v>1333</v>
      </c>
    </row>
    <row r="79" spans="1:24" ht="29">
      <c r="A79" s="3">
        <v>10.76</v>
      </c>
      <c r="B79" s="393"/>
      <c r="C79" s="366"/>
      <c r="D79" s="258"/>
      <c r="E79" s="245" t="s">
        <v>455</v>
      </c>
      <c r="F79" s="114" t="s">
        <v>89</v>
      </c>
      <c r="G79" s="79" t="s">
        <v>127</v>
      </c>
      <c r="H79" s="257" t="s">
        <v>95</v>
      </c>
      <c r="I79" s="263" t="s">
        <v>206</v>
      </c>
      <c r="J79" s="263" t="s">
        <v>102</v>
      </c>
      <c r="K79" s="271">
        <f t="shared" ref="K79:K82" si="12">IF(W79="NANANANA",S79,IF(AND(OR(G79="Formally Documented",G79="Informally Documented"),H79="Not Implemented"),0.5*AVERAGE(S79:V79),AVERAGE(S79:V79)))</f>
        <v>1</v>
      </c>
      <c r="L79" s="273">
        <f>IF(AND(D79="K",K79=1),'Maturity Rating'!$E$8,IF(K79="NA",K79,IF(D79="K",K79*'Maturity Rating'!$E$7,K79)))</f>
        <v>1</v>
      </c>
      <c r="M79" s="339"/>
      <c r="N79" s="339"/>
      <c r="O79" s="361"/>
      <c r="S79" s="257">
        <f>VLOOKUP(G79,'Maturity Rating'!A$2:B$5,2,FALSE)</f>
        <v>1</v>
      </c>
      <c r="T79" s="257">
        <f>VLOOKUP(H79,'Maturity Rating'!A$8:B$11,2,FALSE)</f>
        <v>1</v>
      </c>
      <c r="U79" s="257">
        <f>VLOOKUP(I79,'Maturity Rating'!A$14:B$17,2,FALSE)</f>
        <v>1</v>
      </c>
      <c r="V79" s="257">
        <f>VLOOKUP(J79,'Maturity Rating'!A$20:B$23,2,FALSE)</f>
        <v>1</v>
      </c>
      <c r="W79" s="24" t="str">
        <f t="shared" ref="W79:W82" si="13">CONCATENATE(S79,T79,U79,V79)</f>
        <v>1111</v>
      </c>
    </row>
    <row r="80" spans="1:24" ht="29">
      <c r="A80" s="3">
        <v>10.77</v>
      </c>
      <c r="B80" s="393"/>
      <c r="C80" s="366"/>
      <c r="D80" s="258"/>
      <c r="E80" s="245" t="s">
        <v>456</v>
      </c>
      <c r="F80" s="114" t="s">
        <v>89</v>
      </c>
      <c r="G80" s="79" t="s">
        <v>127</v>
      </c>
      <c r="H80" s="257" t="s">
        <v>95</v>
      </c>
      <c r="I80" s="263" t="s">
        <v>206</v>
      </c>
      <c r="J80" s="263" t="s">
        <v>102</v>
      </c>
      <c r="K80" s="271">
        <f t="shared" si="12"/>
        <v>1</v>
      </c>
      <c r="L80" s="273">
        <f>IF(AND(D80="K",K80=1),'Maturity Rating'!$E$8,IF(K80="NA",K80,IF(D80="K",K80*'Maturity Rating'!$E$7,K80)))</f>
        <v>1</v>
      </c>
      <c r="M80" s="339"/>
      <c r="N80" s="339"/>
      <c r="O80" s="361"/>
      <c r="S80" s="257">
        <f>VLOOKUP(G80,'Maturity Rating'!A$2:B$5,2,FALSE)</f>
        <v>1</v>
      </c>
      <c r="T80" s="257">
        <f>VLOOKUP(H80,'Maturity Rating'!A$8:B$11,2,FALSE)</f>
        <v>1</v>
      </c>
      <c r="U80" s="257">
        <f>VLOOKUP(I80,'Maturity Rating'!A$14:B$17,2,FALSE)</f>
        <v>1</v>
      </c>
      <c r="V80" s="257">
        <f>VLOOKUP(J80,'Maturity Rating'!A$20:B$23,2,FALSE)</f>
        <v>1</v>
      </c>
      <c r="W80" s="24" t="str">
        <f t="shared" si="13"/>
        <v>1111</v>
      </c>
    </row>
    <row r="81" spans="1:24">
      <c r="A81" s="74">
        <v>10.78</v>
      </c>
      <c r="B81" s="393"/>
      <c r="C81" s="366"/>
      <c r="D81" s="258"/>
      <c r="E81" s="245" t="s">
        <v>457</v>
      </c>
      <c r="F81" s="114" t="s">
        <v>89</v>
      </c>
      <c r="G81" s="79" t="s">
        <v>127</v>
      </c>
      <c r="H81" s="257" t="s">
        <v>100</v>
      </c>
      <c r="I81" s="263" t="s">
        <v>120</v>
      </c>
      <c r="J81" s="263" t="s">
        <v>129</v>
      </c>
      <c r="K81" s="271">
        <f t="shared" si="12"/>
        <v>2.5</v>
      </c>
      <c r="L81" s="273">
        <f>IF(AND(D81="K",K81=1),'Maturity Rating'!$E$8,IF(K81="NA",K81,IF(D81="K",K81*'Maturity Rating'!$E$7,K81)))</f>
        <v>2.5</v>
      </c>
      <c r="M81" s="339"/>
      <c r="N81" s="339"/>
      <c r="O81" s="361"/>
      <c r="S81" s="257">
        <f>VLOOKUP(G81,'Maturity Rating'!A$2:B$5,2,FALSE)</f>
        <v>1</v>
      </c>
      <c r="T81" s="257">
        <f>VLOOKUP(H81,'Maturity Rating'!A$8:B$11,2,FALSE)</f>
        <v>3</v>
      </c>
      <c r="U81" s="257">
        <f>VLOOKUP(I81,'Maturity Rating'!A$14:B$17,2,FALSE)</f>
        <v>3</v>
      </c>
      <c r="V81" s="257">
        <f>VLOOKUP(J81,'Maturity Rating'!A$20:B$23,2,FALSE)</f>
        <v>3</v>
      </c>
      <c r="W81" s="24" t="str">
        <f t="shared" si="13"/>
        <v>1333</v>
      </c>
    </row>
    <row r="82" spans="1:24" ht="29">
      <c r="A82" s="74">
        <v>10.79</v>
      </c>
      <c r="B82" s="393"/>
      <c r="C82" s="366"/>
      <c r="D82" s="258"/>
      <c r="E82" s="245" t="s">
        <v>458</v>
      </c>
      <c r="F82" s="114" t="s">
        <v>105</v>
      </c>
      <c r="G82" s="79" t="s">
        <v>127</v>
      </c>
      <c r="H82" s="257" t="s">
        <v>95</v>
      </c>
      <c r="I82" s="263" t="s">
        <v>206</v>
      </c>
      <c r="J82" s="263" t="s">
        <v>102</v>
      </c>
      <c r="K82" s="271">
        <f t="shared" si="12"/>
        <v>1</v>
      </c>
      <c r="L82" s="273">
        <f>IF(AND(D82="K",K82=1),'Maturity Rating'!$E$8,IF(K82="NA",K82,IF(D82="K",K82*'Maturity Rating'!$E$7,K82)))</f>
        <v>1</v>
      </c>
      <c r="M82" s="339"/>
      <c r="N82" s="339"/>
      <c r="O82" s="361"/>
      <c r="S82" s="257">
        <f>VLOOKUP(G82,'Maturity Rating'!A$2:B$5,2,FALSE)</f>
        <v>1</v>
      </c>
      <c r="T82" s="257">
        <f>VLOOKUP(H82,'Maturity Rating'!A$8:B$11,2,FALSE)</f>
        <v>1</v>
      </c>
      <c r="U82" s="257">
        <f>VLOOKUP(I82,'Maturity Rating'!A$14:B$17,2,FALSE)</f>
        <v>1</v>
      </c>
      <c r="V82" s="257">
        <f>VLOOKUP(J82,'Maturity Rating'!A$20:B$23,2,FALSE)</f>
        <v>1</v>
      </c>
      <c r="W82" s="24" t="str">
        <f t="shared" si="13"/>
        <v>1111</v>
      </c>
    </row>
    <row r="83" spans="1:24" ht="29.5" thickBot="1">
      <c r="A83" s="75" t="s">
        <v>459</v>
      </c>
      <c r="B83" s="394"/>
      <c r="C83" s="367"/>
      <c r="D83" s="259"/>
      <c r="E83" s="192" t="s">
        <v>460</v>
      </c>
      <c r="F83" s="115" t="s">
        <v>89</v>
      </c>
      <c r="G83" s="79" t="s">
        <v>127</v>
      </c>
      <c r="H83" s="259" t="s">
        <v>100</v>
      </c>
      <c r="I83" s="259" t="s">
        <v>120</v>
      </c>
      <c r="J83" s="259" t="s">
        <v>129</v>
      </c>
      <c r="K83" s="272">
        <f t="shared" si="9"/>
        <v>2.5</v>
      </c>
      <c r="L83" s="272">
        <f>IF(AND(D83="K",K83=1),'Maturity Rating'!$E$8,IF(K83="NA",K83,IF(D83="K",K83*'Maturity Rating'!$E$7,K83)))</f>
        <v>2.5</v>
      </c>
      <c r="M83" s="340"/>
      <c r="N83" s="340"/>
      <c r="O83" s="362"/>
      <c r="S83" s="257">
        <f>VLOOKUP(G83,'Maturity Rating'!A$2:B$5,2,FALSE)</f>
        <v>1</v>
      </c>
      <c r="T83" s="257">
        <f>VLOOKUP(H83,'Maturity Rating'!A$8:B$11,2,FALSE)</f>
        <v>3</v>
      </c>
      <c r="U83" s="257">
        <f>VLOOKUP(I83,'Maturity Rating'!A$14:B$17,2,FALSE)</f>
        <v>3</v>
      </c>
      <c r="V83" s="257">
        <f>VLOOKUP(J83,'Maturity Rating'!A$20:B$23,2,FALSE)</f>
        <v>3</v>
      </c>
      <c r="W83" s="24" t="str">
        <f t="shared" si="8"/>
        <v>1333</v>
      </c>
    </row>
    <row r="84" spans="1:24" ht="29">
      <c r="A84" s="36">
        <v>10.81</v>
      </c>
      <c r="B84" s="359" t="s">
        <v>461</v>
      </c>
      <c r="C84" s="368" t="s">
        <v>462</v>
      </c>
      <c r="D84" s="256"/>
      <c r="E84" s="193" t="s">
        <v>463</v>
      </c>
      <c r="F84" s="113" t="s">
        <v>89</v>
      </c>
      <c r="G84" s="256" t="s">
        <v>127</v>
      </c>
      <c r="H84" s="256" t="s">
        <v>100</v>
      </c>
      <c r="I84" s="256" t="s">
        <v>120</v>
      </c>
      <c r="J84" s="256" t="s">
        <v>464</v>
      </c>
      <c r="K84" s="278">
        <f t="shared" si="9"/>
        <v>2.25</v>
      </c>
      <c r="L84" s="278">
        <f>IF(AND(D84="K",K84=1),'Maturity Rating'!$E$8,IF(K84="NA",K84,IF(D84="K",K84*'Maturity Rating'!$E$7,K84)))</f>
        <v>2.25</v>
      </c>
      <c r="M84" s="338">
        <f>IF(X84="NANANANANA",K75,AVERAGE(L84:L85))</f>
        <v>2.25</v>
      </c>
      <c r="N84" s="338">
        <f>IF(M84&lt;1.1,1,IF(M84="NA",M84,(MIN(5,M84/3*5))))</f>
        <v>3.75</v>
      </c>
      <c r="O84" s="363" t="str">
        <f>IF(N84="NA",N84,VLOOKUP(Q84,'Maturity Rating'!G4:H8,2,FALSE))</f>
        <v>Defined</v>
      </c>
      <c r="Q84" s="244">
        <f>IF(N84="NA",N84,ROUNDDOWN(N84,0))</f>
        <v>3</v>
      </c>
      <c r="S84" s="257">
        <f>VLOOKUP(G84,'Maturity Rating'!A$2:B$5,2,FALSE)</f>
        <v>1</v>
      </c>
      <c r="T84" s="257">
        <f>VLOOKUP(H84,'Maturity Rating'!A$8:B$11,2,FALSE)</f>
        <v>3</v>
      </c>
      <c r="U84" s="257">
        <f>VLOOKUP(I84,'Maturity Rating'!A$14:B$17,2,FALSE)</f>
        <v>3</v>
      </c>
      <c r="V84" s="257">
        <f>VLOOKUP(J84,'Maturity Rating'!A$20:B$23,2,FALSE)</f>
        <v>2</v>
      </c>
      <c r="W84" s="24" t="str">
        <f t="shared" si="8"/>
        <v>1332</v>
      </c>
      <c r="X84" s="24" t="str">
        <f>CONCATENATE(L84,L85)</f>
        <v>2.252.25</v>
      </c>
    </row>
    <row r="85" spans="1:24" ht="29.5" thickBot="1">
      <c r="A85" s="75">
        <v>10.82</v>
      </c>
      <c r="B85" s="347"/>
      <c r="C85" s="367"/>
      <c r="D85" s="259"/>
      <c r="E85" s="282" t="s">
        <v>465</v>
      </c>
      <c r="F85" s="115" t="s">
        <v>89</v>
      </c>
      <c r="G85" s="259" t="s">
        <v>127</v>
      </c>
      <c r="H85" s="259" t="s">
        <v>100</v>
      </c>
      <c r="I85" s="259" t="s">
        <v>101</v>
      </c>
      <c r="J85" s="259" t="s">
        <v>129</v>
      </c>
      <c r="K85" s="272">
        <f t="shared" si="9"/>
        <v>2.25</v>
      </c>
      <c r="L85" s="272">
        <f>IF(AND(D85="K",K85=1),'Maturity Rating'!$E$8,IF(K85="NA",K85,IF(D85="K",K85*'Maturity Rating'!$E$7,K85)))</f>
        <v>2.25</v>
      </c>
      <c r="M85" s="340"/>
      <c r="N85" s="340"/>
      <c r="O85" s="362"/>
      <c r="S85" s="257">
        <f>VLOOKUP(G85,'Maturity Rating'!A$2:B$5,2,FALSE)</f>
        <v>1</v>
      </c>
      <c r="T85" s="257">
        <f>VLOOKUP(H85,'Maturity Rating'!A$8:B$11,2,FALSE)</f>
        <v>3</v>
      </c>
      <c r="U85" s="257">
        <f>VLOOKUP(I85,'Maturity Rating'!A$14:B$17,2,FALSE)</f>
        <v>2</v>
      </c>
      <c r="V85" s="257">
        <f>VLOOKUP(J85,'Maturity Rating'!A$20:B$23,2,FALSE)</f>
        <v>3</v>
      </c>
      <c r="W85" s="24" t="str">
        <f t="shared" si="8"/>
        <v>1323</v>
      </c>
    </row>
    <row r="86" spans="1:24" ht="72.5">
      <c r="A86" s="36">
        <v>10.83</v>
      </c>
      <c r="B86" s="359" t="s">
        <v>466</v>
      </c>
      <c r="C86" s="357" t="s">
        <v>467</v>
      </c>
      <c r="D86" s="178"/>
      <c r="E86" s="277" t="s">
        <v>468</v>
      </c>
      <c r="F86" s="162" t="s">
        <v>89</v>
      </c>
      <c r="G86" s="264" t="s">
        <v>127</v>
      </c>
      <c r="H86" s="264" t="s">
        <v>95</v>
      </c>
      <c r="I86" s="256" t="s">
        <v>206</v>
      </c>
      <c r="J86" s="256" t="s">
        <v>102</v>
      </c>
      <c r="K86" s="278">
        <f t="shared" ref="K86:K94" si="14">IF(W86="NANANANA",S86,IF(AND(OR(G86="Formally Documented",G86="Informally Documented"),H86="Not Implemented"),0.5*AVERAGE(S86:V86),AVERAGE(S86:V86)))</f>
        <v>1</v>
      </c>
      <c r="L86" s="163">
        <f>IF(AND(D86="K",K86=1),'Maturity Rating'!$E$8,IF(K86="NA",K86,IF(D86="K",K86*'Maturity Rating'!$E$7,K86)))</f>
        <v>1</v>
      </c>
      <c r="M86" s="396">
        <f>IF(X86="NANANANANA",K78,AVERAGE(L86:L94))</f>
        <v>1.7962962962962961</v>
      </c>
      <c r="N86" s="338">
        <f>IF(M86&lt;1.1,1,IF(M86="NA",M86,(MIN(5,M86/3*5))))</f>
        <v>2.9938271604938267</v>
      </c>
      <c r="O86" s="341" t="str">
        <f>IF(N86="NA",N86,VLOOKUP(Q86,'Maturity Rating'!G4:H8,2,FALSE))</f>
        <v>Partial</v>
      </c>
      <c r="Q86" s="244">
        <f>IF(N86="NA",N86,ROUNDDOWN(N86,0))</f>
        <v>2</v>
      </c>
      <c r="S86" s="257">
        <f>VLOOKUP(G86,'Maturity Rating'!A$2:B$5,2,FALSE)</f>
        <v>1</v>
      </c>
      <c r="T86" s="257">
        <f>VLOOKUP(H86,'Maturity Rating'!A$8:B$11,2,FALSE)</f>
        <v>1</v>
      </c>
      <c r="U86" s="257">
        <f>VLOOKUP(I86,'Maturity Rating'!A$14:B$17,2,FALSE)</f>
        <v>1</v>
      </c>
      <c r="V86" s="257">
        <f>VLOOKUP(J86,'Maturity Rating'!A$20:B$23,2,FALSE)</f>
        <v>1</v>
      </c>
      <c r="W86" s="24" t="str">
        <f t="shared" ref="W86:W94" si="15">CONCATENATE(S86,T86,U86,V86)</f>
        <v>1111</v>
      </c>
      <c r="X86" s="24" t="str">
        <f>CONCATENATE(L86,L87,L88,L89,L90,L91,L92,L93,L94)</f>
        <v>12.521.251.251.666666666666672.513</v>
      </c>
    </row>
    <row r="87" spans="1:24">
      <c r="A87" s="74">
        <v>10.84</v>
      </c>
      <c r="B87" s="345"/>
      <c r="C87" s="358"/>
      <c r="D87" s="69"/>
      <c r="E87" s="266" t="s">
        <v>469</v>
      </c>
      <c r="F87" s="116" t="s">
        <v>89</v>
      </c>
      <c r="G87" s="258" t="s">
        <v>127</v>
      </c>
      <c r="H87" s="258" t="s">
        <v>100</v>
      </c>
      <c r="I87" s="257" t="s">
        <v>120</v>
      </c>
      <c r="J87" s="257" t="s">
        <v>129</v>
      </c>
      <c r="K87" s="273">
        <f t="shared" si="14"/>
        <v>2.5</v>
      </c>
      <c r="L87" s="164">
        <f>IF(AND(D87="K",K87=1),'Maturity Rating'!$E$8,IF(K87="NA",K87,IF(D87="K",K87*'Maturity Rating'!$E$7,K87)))</f>
        <v>2.5</v>
      </c>
      <c r="M87" s="397"/>
      <c r="N87" s="339"/>
      <c r="O87" s="342"/>
      <c r="S87" s="257">
        <f>VLOOKUP(G87,'Maturity Rating'!A$2:B$5,2,FALSE)</f>
        <v>1</v>
      </c>
      <c r="T87" s="257">
        <f>VLOOKUP(H87,'Maturity Rating'!A$8:B$11,2,FALSE)</f>
        <v>3</v>
      </c>
      <c r="U87" s="257">
        <f>VLOOKUP(I87,'Maturity Rating'!A$14:B$17,2,FALSE)</f>
        <v>3</v>
      </c>
      <c r="V87" s="257">
        <f>VLOOKUP(J87,'Maturity Rating'!A$20:B$23,2,FALSE)</f>
        <v>3</v>
      </c>
      <c r="W87" s="24" t="str">
        <f t="shared" si="15"/>
        <v>1333</v>
      </c>
    </row>
    <row r="88" spans="1:24" ht="29">
      <c r="A88" s="74">
        <v>10.85</v>
      </c>
      <c r="B88" s="345"/>
      <c r="C88" s="358"/>
      <c r="D88" s="69"/>
      <c r="E88" s="266" t="s">
        <v>470</v>
      </c>
      <c r="F88" s="116" t="s">
        <v>89</v>
      </c>
      <c r="G88" s="258" t="s">
        <v>127</v>
      </c>
      <c r="H88" s="258" t="s">
        <v>100</v>
      </c>
      <c r="I88" s="257" t="s">
        <v>120</v>
      </c>
      <c r="J88" s="257" t="s">
        <v>102</v>
      </c>
      <c r="K88" s="273">
        <f t="shared" si="14"/>
        <v>2</v>
      </c>
      <c r="L88" s="164">
        <f>IF(AND(D88="K",K88=1),'Maturity Rating'!$E$8,IF(K88="NA",K88,IF(D88="K",K88*'Maturity Rating'!$E$7,K88)))</f>
        <v>2</v>
      </c>
      <c r="M88" s="397"/>
      <c r="N88" s="339"/>
      <c r="O88" s="342"/>
      <c r="S88" s="257">
        <f>VLOOKUP(G88,'Maturity Rating'!A$2:B$5,2,FALSE)</f>
        <v>1</v>
      </c>
      <c r="T88" s="257">
        <f>VLOOKUP(H88,'Maturity Rating'!A$8:B$11,2,FALSE)</f>
        <v>3</v>
      </c>
      <c r="U88" s="257">
        <f>VLOOKUP(I88,'Maturity Rating'!A$14:B$17,2,FALSE)</f>
        <v>3</v>
      </c>
      <c r="V88" s="257">
        <f>VLOOKUP(J88,'Maturity Rating'!A$20:B$23,2,FALSE)</f>
        <v>1</v>
      </c>
      <c r="W88" s="24" t="str">
        <f t="shared" si="15"/>
        <v>1331</v>
      </c>
    </row>
    <row r="89" spans="1:24" ht="29">
      <c r="A89" s="74">
        <v>10.86</v>
      </c>
      <c r="B89" s="345"/>
      <c r="C89" s="358"/>
      <c r="D89" s="69"/>
      <c r="E89" s="266" t="s">
        <v>471</v>
      </c>
      <c r="F89" s="116" t="s">
        <v>89</v>
      </c>
      <c r="G89" s="258" t="s">
        <v>127</v>
      </c>
      <c r="H89" s="258" t="s">
        <v>125</v>
      </c>
      <c r="I89" s="257" t="s">
        <v>206</v>
      </c>
      <c r="J89" s="257" t="s">
        <v>102</v>
      </c>
      <c r="K89" s="273">
        <f t="shared" si="14"/>
        <v>1.25</v>
      </c>
      <c r="L89" s="164">
        <f>IF(AND(D89="K",K89=1),'Maturity Rating'!$E$8,IF(K89="NA",K89,IF(D89="K",K89*'Maturity Rating'!$E$7,K89)))</f>
        <v>1.25</v>
      </c>
      <c r="M89" s="397"/>
      <c r="N89" s="339"/>
      <c r="O89" s="342"/>
      <c r="S89" s="257">
        <f>VLOOKUP(G89,'Maturity Rating'!A$2:B$5,2,FALSE)</f>
        <v>1</v>
      </c>
      <c r="T89" s="257">
        <f>VLOOKUP(H89,'Maturity Rating'!A$8:B$11,2,FALSE)</f>
        <v>2</v>
      </c>
      <c r="U89" s="257">
        <f>VLOOKUP(I89,'Maturity Rating'!A$14:B$17,2,FALSE)</f>
        <v>1</v>
      </c>
      <c r="V89" s="257">
        <f>VLOOKUP(J89,'Maturity Rating'!A$20:B$23,2,FALSE)</f>
        <v>1</v>
      </c>
      <c r="W89" s="24" t="str">
        <f t="shared" si="15"/>
        <v>1211</v>
      </c>
    </row>
    <row r="90" spans="1:24" ht="29">
      <c r="A90" s="74">
        <v>10.87</v>
      </c>
      <c r="B90" s="345"/>
      <c r="C90" s="358"/>
      <c r="D90" s="69"/>
      <c r="E90" s="266" t="s">
        <v>472</v>
      </c>
      <c r="F90" s="116" t="s">
        <v>89</v>
      </c>
      <c r="G90" s="258" t="s">
        <v>127</v>
      </c>
      <c r="H90" s="258" t="s">
        <v>125</v>
      </c>
      <c r="I90" s="257" t="s">
        <v>206</v>
      </c>
      <c r="J90" s="257" t="s">
        <v>102</v>
      </c>
      <c r="K90" s="273">
        <f t="shared" si="14"/>
        <v>1.25</v>
      </c>
      <c r="L90" s="164">
        <f>IF(AND(D90="K",K90=1),'Maturity Rating'!$E$8,IF(K90="NA",K90,IF(D90="K",K90*'Maturity Rating'!$E$7,K90)))</f>
        <v>1.25</v>
      </c>
      <c r="M90" s="397"/>
      <c r="N90" s="339"/>
      <c r="O90" s="342"/>
      <c r="S90" s="257">
        <f>VLOOKUP(G90,'Maturity Rating'!A$2:B$5,2,FALSE)</f>
        <v>1</v>
      </c>
      <c r="T90" s="257">
        <f>VLOOKUP(H90,'Maturity Rating'!A$8:B$11,2,FALSE)</f>
        <v>2</v>
      </c>
      <c r="U90" s="257">
        <f>VLOOKUP(I90,'Maturity Rating'!A$14:B$17,2,FALSE)</f>
        <v>1</v>
      </c>
      <c r="V90" s="257">
        <f>VLOOKUP(J90,'Maturity Rating'!A$20:B$23,2,FALSE)</f>
        <v>1</v>
      </c>
      <c r="W90" s="24" t="str">
        <f t="shared" si="15"/>
        <v>1211</v>
      </c>
    </row>
    <row r="91" spans="1:24" ht="29">
      <c r="A91" s="74">
        <v>10.88</v>
      </c>
      <c r="B91" s="345"/>
      <c r="C91" s="358"/>
      <c r="D91" s="69"/>
      <c r="E91" s="266" t="s">
        <v>473</v>
      </c>
      <c r="F91" s="116" t="s">
        <v>89</v>
      </c>
      <c r="G91" s="258" t="s">
        <v>127</v>
      </c>
      <c r="H91" s="258" t="s">
        <v>100</v>
      </c>
      <c r="I91" s="257" t="s">
        <v>91</v>
      </c>
      <c r="J91" s="257" t="s">
        <v>102</v>
      </c>
      <c r="K91" s="273">
        <f t="shared" si="14"/>
        <v>1.6666666666666667</v>
      </c>
      <c r="L91" s="164">
        <f>IF(AND(D91="K",K91=1),'Maturity Rating'!$E$8,IF(K91="NA",K91,IF(D91="K",K91*'Maturity Rating'!$E$7,K91)))</f>
        <v>1.6666666666666667</v>
      </c>
      <c r="M91" s="397"/>
      <c r="N91" s="339"/>
      <c r="O91" s="342"/>
      <c r="S91" s="257">
        <f>VLOOKUP(G91,'Maturity Rating'!A$2:B$5,2,FALSE)</f>
        <v>1</v>
      </c>
      <c r="T91" s="257">
        <f>VLOOKUP(H91,'Maturity Rating'!A$8:B$11,2,FALSE)</f>
        <v>3</v>
      </c>
      <c r="U91" s="257" t="str">
        <f>VLOOKUP(I91,'Maturity Rating'!A$14:B$17,2,FALSE)</f>
        <v>NA</v>
      </c>
      <c r="V91" s="257">
        <f>VLOOKUP(J91,'Maturity Rating'!A$20:B$23,2,FALSE)</f>
        <v>1</v>
      </c>
      <c r="W91" s="24" t="str">
        <f t="shared" si="15"/>
        <v>13NA1</v>
      </c>
    </row>
    <row r="92" spans="1:24">
      <c r="A92" s="74">
        <v>10.89</v>
      </c>
      <c r="B92" s="345"/>
      <c r="C92" s="358"/>
      <c r="D92" s="69"/>
      <c r="E92" s="266" t="s">
        <v>474</v>
      </c>
      <c r="F92" s="116" t="s">
        <v>89</v>
      </c>
      <c r="G92" s="258" t="s">
        <v>127</v>
      </c>
      <c r="H92" s="258" t="s">
        <v>100</v>
      </c>
      <c r="I92" s="257" t="s">
        <v>120</v>
      </c>
      <c r="J92" s="257" t="s">
        <v>129</v>
      </c>
      <c r="K92" s="273">
        <f t="shared" si="14"/>
        <v>2.5</v>
      </c>
      <c r="L92" s="164">
        <f>IF(AND(D92="K",K92=1),'Maturity Rating'!$E$8,IF(K92="NA",K92,IF(D92="K",K92*'Maturity Rating'!$E$7,K92)))</f>
        <v>2.5</v>
      </c>
      <c r="M92" s="397"/>
      <c r="N92" s="339"/>
      <c r="O92" s="342"/>
      <c r="S92" s="257">
        <f>VLOOKUP(G92,'Maturity Rating'!A$2:B$5,2,FALSE)</f>
        <v>1</v>
      </c>
      <c r="T92" s="257">
        <f>VLOOKUP(H92,'Maturity Rating'!A$8:B$11,2,FALSE)</f>
        <v>3</v>
      </c>
      <c r="U92" s="257">
        <f>VLOOKUP(I92,'Maturity Rating'!A$14:B$17,2,FALSE)</f>
        <v>3</v>
      </c>
      <c r="V92" s="257">
        <f>VLOOKUP(J92,'Maturity Rating'!A$20:B$23,2,FALSE)</f>
        <v>3</v>
      </c>
      <c r="W92" s="24" t="str">
        <f t="shared" si="15"/>
        <v>1333</v>
      </c>
    </row>
    <row r="93" spans="1:24" ht="29">
      <c r="A93" s="74" t="s">
        <v>475</v>
      </c>
      <c r="B93" s="346"/>
      <c r="C93" s="358"/>
      <c r="D93" s="194"/>
      <c r="E93" s="267" t="s">
        <v>476</v>
      </c>
      <c r="F93" s="116" t="s">
        <v>89</v>
      </c>
      <c r="G93" s="258" t="s">
        <v>127</v>
      </c>
      <c r="H93" s="258" t="s">
        <v>95</v>
      </c>
      <c r="I93" s="257" t="s">
        <v>206</v>
      </c>
      <c r="J93" s="257" t="s">
        <v>102</v>
      </c>
      <c r="K93" s="273">
        <f t="shared" ref="K93" si="16">IF(W93="NANANANA",S93,IF(AND(OR(G93="Formally Documented",G93="Informally Documented"),H93="Not Implemented"),0.5*AVERAGE(S93:V93),AVERAGE(S93:V93)))</f>
        <v>1</v>
      </c>
      <c r="L93" s="164">
        <f>IF(AND(D93="K",K93=1),'Maturity Rating'!$E$8,IF(K93="NA",K93,IF(D93="K",K93*'Maturity Rating'!$E$7,K93)))</f>
        <v>1</v>
      </c>
      <c r="M93" s="397"/>
      <c r="N93" s="339"/>
      <c r="O93" s="352"/>
      <c r="S93" s="257">
        <f>VLOOKUP(G93,'Maturity Rating'!A$2:B$5,2,FALSE)</f>
        <v>1</v>
      </c>
      <c r="T93" s="257">
        <f>VLOOKUP(H93,'Maturity Rating'!A$8:B$11,2,FALSE)</f>
        <v>1</v>
      </c>
      <c r="U93" s="257">
        <f>VLOOKUP(I93,'Maturity Rating'!A$14:B$17,2,FALSE)</f>
        <v>1</v>
      </c>
      <c r="V93" s="257">
        <f>VLOOKUP(J93,'Maturity Rating'!A$20:B$23,2,FALSE)</f>
        <v>1</v>
      </c>
      <c r="W93" s="24" t="str">
        <f t="shared" ref="W93" si="17">CONCATENATE(S93,T93,U93,V93)</f>
        <v>1111</v>
      </c>
    </row>
    <row r="94" spans="1:24" ht="29.5" thickBot="1">
      <c r="A94" s="75">
        <v>10.91</v>
      </c>
      <c r="B94" s="347"/>
      <c r="C94" s="360"/>
      <c r="D94" s="70"/>
      <c r="E94" s="183" t="s">
        <v>477</v>
      </c>
      <c r="F94" s="115" t="s">
        <v>89</v>
      </c>
      <c r="G94" s="259" t="s">
        <v>91</v>
      </c>
      <c r="H94" s="259" t="s">
        <v>100</v>
      </c>
      <c r="I94" s="259" t="s">
        <v>120</v>
      </c>
      <c r="J94" s="259" t="s">
        <v>129</v>
      </c>
      <c r="K94" s="272">
        <f t="shared" si="14"/>
        <v>3</v>
      </c>
      <c r="L94" s="165">
        <f>IF(AND(D94="K",K94=1),'Maturity Rating'!$E$8,IF(K94="NA",K94,IF(D94="K",K94*'Maturity Rating'!$E$7,K94)))</f>
        <v>3</v>
      </c>
      <c r="M94" s="398"/>
      <c r="N94" s="340"/>
      <c r="O94" s="343"/>
      <c r="S94" s="257" t="str">
        <f>VLOOKUP(G94,'Maturity Rating'!A$2:B$5,2,FALSE)</f>
        <v>NA</v>
      </c>
      <c r="T94" s="257">
        <f>VLOOKUP(H94,'Maturity Rating'!A$8:B$11,2,FALSE)</f>
        <v>3</v>
      </c>
      <c r="U94" s="257">
        <f>VLOOKUP(I94,'Maturity Rating'!A$14:B$17,2,FALSE)</f>
        <v>3</v>
      </c>
      <c r="V94" s="257">
        <f>VLOOKUP(J94,'Maturity Rating'!A$20:B$23,2,FALSE)</f>
        <v>3</v>
      </c>
      <c r="W94" s="24" t="str">
        <f t="shared" si="15"/>
        <v>NA333</v>
      </c>
    </row>
  </sheetData>
  <mergeCells count="66">
    <mergeCell ref="B86:B94"/>
    <mergeCell ref="M86:M94"/>
    <mergeCell ref="N86:N94"/>
    <mergeCell ref="O86:O94"/>
    <mergeCell ref="B84:B85"/>
    <mergeCell ref="C84:C85"/>
    <mergeCell ref="M84:M85"/>
    <mergeCell ref="N84:N85"/>
    <mergeCell ref="O84:O85"/>
    <mergeCell ref="C86:C94"/>
    <mergeCell ref="C1:D1"/>
    <mergeCell ref="B58:B67"/>
    <mergeCell ref="C58:C67"/>
    <mergeCell ref="B19:B26"/>
    <mergeCell ref="C19:C26"/>
    <mergeCell ref="B27:B33"/>
    <mergeCell ref="C27:C33"/>
    <mergeCell ref="B34:B41"/>
    <mergeCell ref="C34:C41"/>
    <mergeCell ref="B4:B7"/>
    <mergeCell ref="C4:C7"/>
    <mergeCell ref="B68:B74"/>
    <mergeCell ref="C68:C74"/>
    <mergeCell ref="B75:B83"/>
    <mergeCell ref="C75:C83"/>
    <mergeCell ref="B42:B46"/>
    <mergeCell ref="C42:C46"/>
    <mergeCell ref="B47:B52"/>
    <mergeCell ref="C47:C52"/>
    <mergeCell ref="B53:B57"/>
    <mergeCell ref="C53:C57"/>
    <mergeCell ref="O4:O7"/>
    <mergeCell ref="B8:B18"/>
    <mergeCell ref="C8:C18"/>
    <mergeCell ref="M8:M18"/>
    <mergeCell ref="N8:N18"/>
    <mergeCell ref="O8:O18"/>
    <mergeCell ref="M4:M7"/>
    <mergeCell ref="N4:N7"/>
    <mergeCell ref="O19:O26"/>
    <mergeCell ref="M27:M33"/>
    <mergeCell ref="N27:N33"/>
    <mergeCell ref="O27:O33"/>
    <mergeCell ref="M34:M41"/>
    <mergeCell ref="N34:N41"/>
    <mergeCell ref="O34:O41"/>
    <mergeCell ref="M19:M26"/>
    <mergeCell ref="N19:N26"/>
    <mergeCell ref="N42:N46"/>
    <mergeCell ref="O42:O46"/>
    <mergeCell ref="M47:M52"/>
    <mergeCell ref="N47:N52"/>
    <mergeCell ref="O47:O52"/>
    <mergeCell ref="M42:M46"/>
    <mergeCell ref="M53:M57"/>
    <mergeCell ref="N53:N57"/>
    <mergeCell ref="O53:O57"/>
    <mergeCell ref="M58:M67"/>
    <mergeCell ref="N58:N67"/>
    <mergeCell ref="O58:O67"/>
    <mergeCell ref="M68:M74"/>
    <mergeCell ref="N68:N74"/>
    <mergeCell ref="O68:O74"/>
    <mergeCell ref="M75:M83"/>
    <mergeCell ref="N75:N83"/>
    <mergeCell ref="O75:O83"/>
  </mergeCells>
  <pageMargins left="0.7" right="0.7" top="0.75" bottom="0.75" header="0.3" footer="0.3"/>
  <pageSetup paperSize="9" orientation="portrait" r:id="rId1"/>
  <ignoredErrors>
    <ignoredError sqref="H1 E1:F1 K5:O26 K4:L4 N4:O4 K28:O94 K27:L27 N27:O27" evalError="1"/>
  </ignoredErrors>
  <extLst>
    <ext xmlns:x14="http://schemas.microsoft.com/office/spreadsheetml/2009/9/main" uri="{CCE6A557-97BC-4b89-ADB6-D9C93CAAB3DF}">
      <x14:dataValidations xmlns:xm="http://schemas.microsoft.com/office/excel/2006/main" count="5">
        <x14:dataValidation type="list" allowBlank="1" showInputMessage="1" showErrorMessage="1" xr:uid="{00000000-0002-0000-0D00-000000000000}">
          <x14:formula1>
            <xm:f>'Maturity Rating'!$A$2:$A$5</xm:f>
          </x14:formula1>
          <xm:sqref>G4:G18 G27:G94</xm:sqref>
        </x14:dataValidation>
        <x14:dataValidation type="list" allowBlank="1" showInputMessage="1" showErrorMessage="1" xr:uid="{00000000-0002-0000-0D00-000001000000}">
          <x14:formula1>
            <xm:f>'Maturity Rating'!$A$14:$A$17</xm:f>
          </x14:formula1>
          <xm:sqref>I4:I18</xm:sqref>
        </x14:dataValidation>
        <x14:dataValidation type="list" allowBlank="1" showInputMessage="1" showErrorMessage="1" xr:uid="{00000000-0002-0000-0D00-000002000000}">
          <x14:formula1>
            <xm:f>'Maturity Rating'!$A$20:$A$23</xm:f>
          </x14:formula1>
          <xm:sqref>J4:J18</xm:sqref>
        </x14:dataValidation>
        <x14:dataValidation type="list" allowBlank="1" showInputMessage="1" showErrorMessage="1" xr:uid="{00000000-0002-0000-0D00-000003000000}">
          <x14:formula1>
            <xm:f>'Maturity Rating'!$A$8:$A$11</xm:f>
          </x14:formula1>
          <xm:sqref>H4:H18</xm:sqref>
        </x14:dataValidation>
        <x14:dataValidation type="list" allowBlank="1" showInputMessage="1" showErrorMessage="1" xr:uid="{00000000-0002-0000-0D00-000004000000}">
          <x14:formula1>
            <xm:f>'https://larsentoubro.sharepoint.com/sites/Group-CSAFNPLassessment/Shared Documents/General/[LT Cyber Security Framework_V2(1 Multiplier)_AA.xlsx]Maturity Rating'!#REF!</xm:f>
          </x14:formula1>
          <xm:sqref>G19:G26 H19:J94</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2"/>
  </sheetPr>
  <dimension ref="A1:Y47"/>
  <sheetViews>
    <sheetView showGridLines="0" topLeftCell="C1" zoomScale="70" zoomScaleNormal="70" workbookViewId="0"/>
  </sheetViews>
  <sheetFormatPr defaultColWidth="9.08984375" defaultRowHeight="14.5"/>
  <cols>
    <col min="1" max="1" width="12.36328125" style="22" customWidth="1"/>
    <col min="2" max="2" width="23.08984375" style="24" customWidth="1"/>
    <col min="3" max="3" width="34.90625" style="25" customWidth="1"/>
    <col min="4" max="4" width="25" style="25" customWidth="1"/>
    <col min="5" max="5" width="79.1796875" style="24" customWidth="1"/>
    <col min="6" max="6" width="31.36328125" style="62" customWidth="1"/>
    <col min="7" max="8" width="20.6328125" style="62" customWidth="1"/>
    <col min="9" max="9" width="20.90625" style="62" bestFit="1" customWidth="1"/>
    <col min="10" max="10" width="20.6328125" style="62" customWidth="1"/>
    <col min="11" max="11" width="13.6328125" style="24" bestFit="1" customWidth="1"/>
    <col min="12" max="12" width="26.36328125" style="24" customWidth="1"/>
    <col min="13" max="13" width="18.81640625" style="24" customWidth="1"/>
    <col min="14" max="14" width="20.90625" style="24" customWidth="1"/>
    <col min="15" max="15" width="13.6328125" style="24" customWidth="1"/>
    <col min="16" max="16" width="7" customWidth="1"/>
    <col min="17" max="17" width="3.90625" hidden="1" customWidth="1"/>
    <col min="18" max="18" width="4.54296875" hidden="1" customWidth="1"/>
    <col min="19" max="19" width="5" style="189" hidden="1" customWidth="1"/>
    <col min="20" max="20" width="5.36328125" style="189" hidden="1" customWidth="1"/>
    <col min="21" max="21" width="5.6328125" style="189" hidden="1" customWidth="1"/>
    <col min="22" max="22" width="3.6328125" style="189" hidden="1" customWidth="1"/>
    <col min="23" max="23" width="6" hidden="1" customWidth="1"/>
    <col min="24" max="24" width="27" hidden="1" customWidth="1"/>
    <col min="25" max="25" width="11.6328125" customWidth="1"/>
    <col min="26" max="16384" width="9.08984375" style="24"/>
  </cols>
  <sheetData>
    <row r="1" spans="1:25" ht="19" thickBot="1">
      <c r="C1" s="353" t="s">
        <v>66</v>
      </c>
      <c r="D1" s="354"/>
      <c r="E1" s="45" t="str">
        <f>IF(F1="NA","Not Applicable",VLOOKUP(T1,'Maturity Rating'!G4:H8,2,FALSE))</f>
        <v>Defined</v>
      </c>
      <c r="F1" s="46">
        <f>IF(U1="NANANANA","NA",AVERAGE(N4:N47))</f>
        <v>3.0547542735042739</v>
      </c>
      <c r="G1" s="22"/>
      <c r="I1" s="86"/>
      <c r="J1" s="83"/>
      <c r="K1" s="84"/>
      <c r="Q1" s="224"/>
      <c r="S1"/>
      <c r="T1" s="230">
        <f>ROUNDDOWN(F1,0)</f>
        <v>3</v>
      </c>
      <c r="U1" t="str">
        <f>CONCATENATE(N4,N7,N20,N21,L25,L31,L36,N42)</f>
        <v>4.222222222222223.1602564102564153.583333333333331.2512.42.90277777777778</v>
      </c>
      <c r="V1"/>
    </row>
    <row r="2" spans="1:25" ht="15" thickBot="1"/>
    <row r="3" spans="1:25" s="22" customFormat="1" ht="29.5" thickBot="1">
      <c r="A3" s="88" t="s">
        <v>2</v>
      </c>
      <c r="B3" s="81" t="s">
        <v>67</v>
      </c>
      <c r="C3" s="81" t="s">
        <v>68</v>
      </c>
      <c r="D3" s="81" t="s">
        <v>69</v>
      </c>
      <c r="E3" s="81" t="s">
        <v>70</v>
      </c>
      <c r="F3" s="81" t="s">
        <v>71</v>
      </c>
      <c r="G3" s="81" t="s">
        <v>72</v>
      </c>
      <c r="H3" s="81" t="s">
        <v>73</v>
      </c>
      <c r="I3" s="81" t="s">
        <v>74</v>
      </c>
      <c r="J3" s="81" t="s">
        <v>75</v>
      </c>
      <c r="K3" s="81" t="s">
        <v>76</v>
      </c>
      <c r="L3" s="81" t="s">
        <v>77</v>
      </c>
      <c r="M3" s="81" t="s">
        <v>78</v>
      </c>
      <c r="N3" s="81" t="s">
        <v>79</v>
      </c>
      <c r="O3" s="89" t="s">
        <v>80</v>
      </c>
      <c r="P3"/>
      <c r="Q3"/>
      <c r="R3"/>
      <c r="S3" s="227" t="s">
        <v>81</v>
      </c>
      <c r="T3" s="227" t="s">
        <v>82</v>
      </c>
      <c r="U3" s="227" t="s">
        <v>83</v>
      </c>
      <c r="V3" s="227" t="s">
        <v>84</v>
      </c>
      <c r="W3" s="228"/>
      <c r="X3" s="228"/>
      <c r="Y3" s="228"/>
    </row>
    <row r="4" spans="1:25" ht="29">
      <c r="A4" s="36">
        <v>11.1</v>
      </c>
      <c r="B4" s="359" t="s">
        <v>85</v>
      </c>
      <c r="C4" s="368" t="s">
        <v>478</v>
      </c>
      <c r="D4" s="256" t="s">
        <v>87</v>
      </c>
      <c r="E4" s="51" t="s">
        <v>479</v>
      </c>
      <c r="F4" s="256" t="s">
        <v>89</v>
      </c>
      <c r="G4" s="263" t="s">
        <v>118</v>
      </c>
      <c r="H4" s="263" t="s">
        <v>100</v>
      </c>
      <c r="I4" s="263" t="s">
        <v>120</v>
      </c>
      <c r="J4" s="257" t="s">
        <v>129</v>
      </c>
      <c r="K4" s="271">
        <f>IF(W4="NANANANA",S4,IF(AND(OR(G4="Formally Documented",G4="Informally Documented"),H4="Not Implemented"),0.5*AVERAGE(S4:V4),AVERAGE(S4:V4)))</f>
        <v>3</v>
      </c>
      <c r="L4" s="271">
        <f>IF(AND(D4="K",K4=1),'Maturity Rating'!$E$8,IF(K4="NA",K4,IF(D4="K",K4*'Maturity Rating'!$E$7,K4)))</f>
        <v>3.5999999999999996</v>
      </c>
      <c r="M4" s="371">
        <f>IF(X4="NANANA",K4,AVERAGE(L4:L6))</f>
        <v>2.5333333333333332</v>
      </c>
      <c r="N4" s="399">
        <f>IF(M4&lt;1.1,1,IF(M4="NA",M4,(MIN(5,M4/3*5))))</f>
        <v>4.2222222222222223</v>
      </c>
      <c r="O4" s="341" t="str">
        <f>IF(N4="NA",N4,VLOOKUP(Q4,'Maturity Rating'!G4:H8,2,FALSE))</f>
        <v>Repeatable</v>
      </c>
      <c r="P4" s="27"/>
      <c r="Q4" s="229">
        <f>IF(N4="NA",N4,ROUNDDOWN(N4,0))</f>
        <v>4</v>
      </c>
      <c r="S4" s="114">
        <f>VLOOKUP(G4,'Maturity Rating'!A$2:B$5,2,FALSE)</f>
        <v>3</v>
      </c>
      <c r="T4" s="114">
        <f>VLOOKUP(H4,'Maturity Rating'!A$8:B$11,2,FALSE)</f>
        <v>3</v>
      </c>
      <c r="U4" s="114">
        <f>VLOOKUP(I4,'Maturity Rating'!A$14:B$17,2,FALSE)</f>
        <v>3</v>
      </c>
      <c r="V4" s="114">
        <f>VLOOKUP(J4,'Maturity Rating'!A$20:B$23,2,FALSE)</f>
        <v>3</v>
      </c>
      <c r="W4" t="str">
        <f>CONCATENATE(S4,T4,U4,V4)</f>
        <v>3333</v>
      </c>
      <c r="X4" t="str">
        <f>CONCATENATE(L4,L5,L6)</f>
        <v>3.631</v>
      </c>
    </row>
    <row r="5" spans="1:25" ht="29">
      <c r="A5" s="74">
        <v>11.2</v>
      </c>
      <c r="B5" s="345"/>
      <c r="C5" s="365"/>
      <c r="D5" s="257"/>
      <c r="E5" s="28" t="s">
        <v>93</v>
      </c>
      <c r="F5" s="257" t="s">
        <v>89</v>
      </c>
      <c r="G5" s="257" t="s">
        <v>118</v>
      </c>
      <c r="H5" s="257" t="s">
        <v>100</v>
      </c>
      <c r="I5" s="257" t="s">
        <v>120</v>
      </c>
      <c r="J5" s="257" t="s">
        <v>129</v>
      </c>
      <c r="K5" s="271">
        <f t="shared" ref="K5:K24" si="0">IF(W5="NANANANA",S5,IF(AND(OR(G5="Formally Documented",G5="Informally Documented"),H5="Not Implemented"),0.5*AVERAGE(S5:V5),AVERAGE(S5:V5)))</f>
        <v>3</v>
      </c>
      <c r="L5" s="273">
        <f>IF(AND(D5="K",K5=1),'Maturity Rating'!$E$8,IF(K5="NA",K5,IF(D5="K",K5*'Maturity Rating'!$E$7,K5)))</f>
        <v>3</v>
      </c>
      <c r="M5" s="374"/>
      <c r="N5" s="399"/>
      <c r="O5" s="342"/>
      <c r="P5" s="27"/>
      <c r="Q5" s="229"/>
      <c r="S5" s="114">
        <f>VLOOKUP(G5,'Maturity Rating'!A$2:B$5,2,FALSE)</f>
        <v>3</v>
      </c>
      <c r="T5" s="114">
        <f>VLOOKUP(H5,'Maturity Rating'!A$8:B$11,2,FALSE)</f>
        <v>3</v>
      </c>
      <c r="U5" s="114">
        <f>VLOOKUP(I5,'Maturity Rating'!A$14:B$17,2,FALSE)</f>
        <v>3</v>
      </c>
      <c r="V5" s="114">
        <f>VLOOKUP(J5,'Maturity Rating'!A$20:B$23,2,FALSE)</f>
        <v>3</v>
      </c>
      <c r="W5" t="str">
        <f t="shared" ref="W5:W24" si="1">CONCATENATE(S5,T5,U5,V5)</f>
        <v>3333</v>
      </c>
    </row>
    <row r="6" spans="1:25" ht="15" thickBot="1">
      <c r="A6" s="75">
        <v>11.3</v>
      </c>
      <c r="B6" s="347"/>
      <c r="C6" s="367"/>
      <c r="D6" s="259"/>
      <c r="E6" s="268" t="s">
        <v>94</v>
      </c>
      <c r="F6" s="259" t="s">
        <v>89</v>
      </c>
      <c r="G6" s="259" t="s">
        <v>127</v>
      </c>
      <c r="H6" s="259" t="s">
        <v>95</v>
      </c>
      <c r="I6" s="259" t="s">
        <v>91</v>
      </c>
      <c r="J6" s="259" t="s">
        <v>91</v>
      </c>
      <c r="K6" s="272">
        <f t="shared" si="0"/>
        <v>1</v>
      </c>
      <c r="L6" s="272">
        <f>IF(AND(D6="K",K6=1),'Maturity Rating'!$E$8,IF(K6="NA",K6,IF(D6="K",K6*'Maturity Rating'!$E$7,K6)))</f>
        <v>1</v>
      </c>
      <c r="M6" s="372"/>
      <c r="N6" s="400"/>
      <c r="O6" s="343"/>
      <c r="P6" s="27"/>
      <c r="Q6" s="229"/>
      <c r="S6" s="114">
        <f>VLOOKUP(G6,'Maturity Rating'!A$2:B$5,2,FALSE)</f>
        <v>1</v>
      </c>
      <c r="T6" s="114">
        <f>VLOOKUP(H6,'Maturity Rating'!A$8:B$11,2,FALSE)</f>
        <v>1</v>
      </c>
      <c r="U6" s="114" t="str">
        <f>VLOOKUP(I6,'Maturity Rating'!A$14:B$17,2,FALSE)</f>
        <v>NA</v>
      </c>
      <c r="V6" s="114" t="str">
        <f>VLOOKUP(J6,'Maturity Rating'!A$20:B$23,2,FALSE)</f>
        <v>NA</v>
      </c>
      <c r="W6" t="str">
        <f t="shared" si="1"/>
        <v>11NANA</v>
      </c>
    </row>
    <row r="7" spans="1:25" ht="29">
      <c r="A7" s="36">
        <v>11.4</v>
      </c>
      <c r="B7" s="359" t="s">
        <v>480</v>
      </c>
      <c r="C7" s="368" t="s">
        <v>481</v>
      </c>
      <c r="D7" s="256"/>
      <c r="E7" s="277" t="s">
        <v>482</v>
      </c>
      <c r="F7" s="257" t="s">
        <v>89</v>
      </c>
      <c r="G7" s="263" t="s">
        <v>127</v>
      </c>
      <c r="H7" s="263" t="s">
        <v>95</v>
      </c>
      <c r="I7" s="263" t="s">
        <v>206</v>
      </c>
      <c r="J7" s="87" t="s">
        <v>102</v>
      </c>
      <c r="K7" s="271">
        <f t="shared" si="0"/>
        <v>1</v>
      </c>
      <c r="L7" s="271">
        <f>IF(AND(D7="K",K7=1),'Maturity Rating'!$E$8,IF(K7="NA",K7,IF(D7="K",K7*'Maturity Rating'!$E$7,K7)))</f>
        <v>1</v>
      </c>
      <c r="M7" s="339">
        <f>IF(X7="NANANANANANANANANANANA",K7,AVERAGE(L7:L19))</f>
        <v>1.8961538461538461</v>
      </c>
      <c r="N7" s="339">
        <f>IF(M7&lt;1.1,1,IF(M7="NA",M7,(MIN(5,M7/3*5))))</f>
        <v>3.1602564102564101</v>
      </c>
      <c r="O7" s="351" t="str">
        <f>IF(N7="NA",N7,VLOOKUP(Q7,'Maturity Rating'!G4:H8,2,FALSE))</f>
        <v>Defined</v>
      </c>
      <c r="P7" s="27"/>
      <c r="Q7" s="229">
        <f>IF(N7="NA",N7,ROUNDDOWN(N7,0))</f>
        <v>3</v>
      </c>
      <c r="S7" s="114">
        <f>VLOOKUP(G7,'Maturity Rating'!A$2:B$5,2,FALSE)</f>
        <v>1</v>
      </c>
      <c r="T7" s="114">
        <f>VLOOKUP(H7,'Maturity Rating'!A$8:B$11,2,FALSE)</f>
        <v>1</v>
      </c>
      <c r="U7" s="114">
        <f>VLOOKUP(I7,'Maturity Rating'!A$14:B$17,2,FALSE)</f>
        <v>1</v>
      </c>
      <c r="V7" s="114">
        <f>VLOOKUP(J7,'Maturity Rating'!A$20:B$23,2,FALSE)</f>
        <v>1</v>
      </c>
      <c r="W7" t="str">
        <f t="shared" si="1"/>
        <v>1111</v>
      </c>
      <c r="X7" t="str">
        <f>CONCATENATE(L7,L8,L9,L10,L11,L12,L13,L14,L15,L16,L17,L18,L19)</f>
        <v>13.630.81.51.50.75331131.5</v>
      </c>
    </row>
    <row r="8" spans="1:25">
      <c r="A8" s="74">
        <v>11.5</v>
      </c>
      <c r="B8" s="345"/>
      <c r="C8" s="365"/>
      <c r="D8" s="257" t="s">
        <v>87</v>
      </c>
      <c r="E8" s="110" t="s">
        <v>483</v>
      </c>
      <c r="F8" s="257" t="s">
        <v>89</v>
      </c>
      <c r="G8" s="263" t="s">
        <v>118</v>
      </c>
      <c r="H8" s="99" t="s">
        <v>100</v>
      </c>
      <c r="I8" s="263" t="s">
        <v>120</v>
      </c>
      <c r="J8" s="87" t="s">
        <v>129</v>
      </c>
      <c r="K8" s="271">
        <f t="shared" si="0"/>
        <v>3</v>
      </c>
      <c r="L8" s="271">
        <f>IF(AND(D8="K",K8=1),'Maturity Rating'!$E$8,IF(K8="NA",K8,IF(D8="K",K8*'Maturity Rating'!$E$7,K8)))</f>
        <v>3.5999999999999996</v>
      </c>
      <c r="M8" s="339"/>
      <c r="N8" s="339"/>
      <c r="O8" s="342"/>
      <c r="P8" s="27"/>
      <c r="Q8" s="27"/>
      <c r="S8" s="114">
        <f>VLOOKUP(G8,'Maturity Rating'!A$2:B$5,2,FALSE)</f>
        <v>3</v>
      </c>
      <c r="T8" s="114">
        <f>VLOOKUP(H8,'Maturity Rating'!A$8:B$11,2,FALSE)</f>
        <v>3</v>
      </c>
      <c r="U8" s="114">
        <f>VLOOKUP(I8,'Maturity Rating'!A$14:B$17,2,FALSE)</f>
        <v>3</v>
      </c>
      <c r="V8" s="114">
        <f>VLOOKUP(J8,'Maturity Rating'!A$20:B$23,2,FALSE)</f>
        <v>3</v>
      </c>
      <c r="W8" t="str">
        <f t="shared" si="1"/>
        <v>3333</v>
      </c>
    </row>
    <row r="9" spans="1:25">
      <c r="A9" s="74">
        <v>11.6</v>
      </c>
      <c r="B9" s="345"/>
      <c r="C9" s="365"/>
      <c r="D9" s="257"/>
      <c r="E9" s="266" t="s">
        <v>484</v>
      </c>
      <c r="F9" s="257" t="s">
        <v>89</v>
      </c>
      <c r="G9" s="263" t="s">
        <v>118</v>
      </c>
      <c r="H9" s="263" t="s">
        <v>100</v>
      </c>
      <c r="I9" s="263" t="s">
        <v>120</v>
      </c>
      <c r="J9" s="87" t="s">
        <v>129</v>
      </c>
      <c r="K9" s="271">
        <f t="shared" si="0"/>
        <v>3</v>
      </c>
      <c r="L9" s="271">
        <f>IF(AND(D9="K",K9=1),'Maturity Rating'!$E$8,IF(K9="NA",K9,IF(D9="K",K9*'Maturity Rating'!$E$7,K9)))</f>
        <v>3</v>
      </c>
      <c r="M9" s="339"/>
      <c r="N9" s="339"/>
      <c r="O9" s="342"/>
      <c r="P9" s="27"/>
      <c r="Q9" s="27"/>
      <c r="S9" s="114">
        <f>VLOOKUP(G9,'Maturity Rating'!A$2:B$5,2,FALSE)</f>
        <v>3</v>
      </c>
      <c r="T9" s="114">
        <f>VLOOKUP(H9,'Maturity Rating'!A$8:B$11,2,FALSE)</f>
        <v>3</v>
      </c>
      <c r="U9" s="114">
        <f>VLOOKUP(I9,'Maturity Rating'!A$14:B$17,2,FALSE)</f>
        <v>3</v>
      </c>
      <c r="V9" s="114">
        <f>VLOOKUP(J9,'Maturity Rating'!A$20:B$23,2,FALSE)</f>
        <v>3</v>
      </c>
      <c r="W9" t="str">
        <f t="shared" si="1"/>
        <v>3333</v>
      </c>
    </row>
    <row r="10" spans="1:25" ht="29">
      <c r="A10" s="74">
        <v>11.7</v>
      </c>
      <c r="B10" s="345"/>
      <c r="C10" s="365"/>
      <c r="D10" s="257" t="s">
        <v>87</v>
      </c>
      <c r="E10" s="110" t="s">
        <v>485</v>
      </c>
      <c r="F10" s="55" t="s">
        <v>89</v>
      </c>
      <c r="G10" s="263" t="s">
        <v>127</v>
      </c>
      <c r="H10" s="263" t="s">
        <v>95</v>
      </c>
      <c r="I10" s="263" t="s">
        <v>206</v>
      </c>
      <c r="J10" s="87" t="s">
        <v>102</v>
      </c>
      <c r="K10" s="271">
        <f t="shared" si="0"/>
        <v>1</v>
      </c>
      <c r="L10" s="271">
        <f>IF(AND(D10="K",K10=1),'Maturity Rating'!$E$8,IF(K10="NA",K10,IF(D10="K",K10*'Maturity Rating'!$E$7,K10)))</f>
        <v>0.8</v>
      </c>
      <c r="M10" s="339"/>
      <c r="N10" s="339"/>
      <c r="O10" s="342"/>
      <c r="P10" s="27"/>
      <c r="Q10" s="27"/>
      <c r="S10" s="114">
        <f>VLOOKUP(G10,'Maturity Rating'!A$2:B$5,2,FALSE)</f>
        <v>1</v>
      </c>
      <c r="T10" s="114">
        <f>VLOOKUP(H10,'Maturity Rating'!A$8:B$11,2,FALSE)</f>
        <v>1</v>
      </c>
      <c r="U10" s="114">
        <f>VLOOKUP(I10,'Maturity Rating'!A$14:B$17,2,FALSE)</f>
        <v>1</v>
      </c>
      <c r="V10" s="114">
        <f>VLOOKUP(J10,'Maturity Rating'!A$20:B$23,2,FALSE)</f>
        <v>1</v>
      </c>
      <c r="W10" t="str">
        <f t="shared" si="1"/>
        <v>1111</v>
      </c>
    </row>
    <row r="11" spans="1:25" ht="29">
      <c r="A11" s="74">
        <v>11.8</v>
      </c>
      <c r="B11" s="345"/>
      <c r="C11" s="365"/>
      <c r="D11" s="257"/>
      <c r="E11" s="28" t="s">
        <v>486</v>
      </c>
      <c r="F11" s="55" t="s">
        <v>89</v>
      </c>
      <c r="G11" s="263" t="s">
        <v>90</v>
      </c>
      <c r="H11" s="263" t="s">
        <v>125</v>
      </c>
      <c r="I11" s="263" t="s">
        <v>206</v>
      </c>
      <c r="J11" s="87" t="s">
        <v>102</v>
      </c>
      <c r="K11" s="271">
        <f>IF(W11="NANANANA",S11,IF(AND(OR(G11="Formally Documented",G11="Informally Documented"),H11="Not Implemented"),0.5*AVERAGE(S11:V11),AVERAGE(S11:V11)))</f>
        <v>1.5</v>
      </c>
      <c r="L11" s="271">
        <f>IF(AND(D11="K",K11=1),'Maturity Rating'!$E$8,IF(K11="NA",K11,IF(D11="K",K11*'Maturity Rating'!$E$7,K11)))</f>
        <v>1.5</v>
      </c>
      <c r="M11" s="339"/>
      <c r="N11" s="339"/>
      <c r="O11" s="342"/>
      <c r="P11" s="27"/>
      <c r="Q11" s="27"/>
      <c r="S11" s="114">
        <f>VLOOKUP(G11,'Maturity Rating'!A$2:B$5,2,FALSE)</f>
        <v>2</v>
      </c>
      <c r="T11" s="114">
        <f>VLOOKUP(H11,'Maturity Rating'!A$8:B$11,2,FALSE)</f>
        <v>2</v>
      </c>
      <c r="U11" s="114">
        <f>VLOOKUP(I11,'Maturity Rating'!A$14:B$17,2,FALSE)</f>
        <v>1</v>
      </c>
      <c r="V11" s="114">
        <f>VLOOKUP(J11,'Maturity Rating'!A$20:B$23,2,FALSE)</f>
        <v>1</v>
      </c>
      <c r="W11" t="str">
        <f>CONCATENATE(S11,T11,U11,V11)</f>
        <v>2211</v>
      </c>
    </row>
    <row r="12" spans="1:25" ht="29">
      <c r="A12" s="74">
        <v>11.9</v>
      </c>
      <c r="B12" s="345"/>
      <c r="C12" s="365"/>
      <c r="D12" s="257"/>
      <c r="E12" s="28" t="s">
        <v>487</v>
      </c>
      <c r="F12" s="55" t="s">
        <v>89</v>
      </c>
      <c r="G12" s="263" t="s">
        <v>90</v>
      </c>
      <c r="H12" s="263" t="s">
        <v>125</v>
      </c>
      <c r="I12" s="263" t="s">
        <v>206</v>
      </c>
      <c r="J12" s="87" t="s">
        <v>102</v>
      </c>
      <c r="K12" s="271">
        <f t="shared" si="0"/>
        <v>1.5</v>
      </c>
      <c r="L12" s="271">
        <f>IF(AND(D12="K",K12=1),'Maturity Rating'!$E$8,IF(K12="NA",K12,IF(D12="K",K12*'Maturity Rating'!$E$7,K12)))</f>
        <v>1.5</v>
      </c>
      <c r="M12" s="339"/>
      <c r="N12" s="339"/>
      <c r="O12" s="342"/>
      <c r="P12" s="27"/>
      <c r="Q12" s="27"/>
      <c r="S12" s="114">
        <f>VLOOKUP(G12,'Maturity Rating'!A$2:B$5,2,FALSE)</f>
        <v>2</v>
      </c>
      <c r="T12" s="114">
        <f>VLOOKUP(H12,'Maturity Rating'!A$8:B$11,2,FALSE)</f>
        <v>2</v>
      </c>
      <c r="U12" s="114">
        <f>VLOOKUP(I12,'Maturity Rating'!A$14:B$17,2,FALSE)</f>
        <v>1</v>
      </c>
      <c r="V12" s="114">
        <f>VLOOKUP(J12,'Maturity Rating'!A$20:B$23,2,FALSE)</f>
        <v>1</v>
      </c>
      <c r="W12" t="str">
        <f t="shared" si="1"/>
        <v>2211</v>
      </c>
    </row>
    <row r="13" spans="1:25" ht="29">
      <c r="A13" s="74" t="s">
        <v>488</v>
      </c>
      <c r="B13" s="345"/>
      <c r="C13" s="365"/>
      <c r="D13" s="257" t="s">
        <v>87</v>
      </c>
      <c r="E13" s="110" t="s">
        <v>489</v>
      </c>
      <c r="F13" s="55" t="s">
        <v>89</v>
      </c>
      <c r="G13" s="263" t="s">
        <v>90</v>
      </c>
      <c r="H13" s="263" t="s">
        <v>95</v>
      </c>
      <c r="I13" s="263" t="s">
        <v>206</v>
      </c>
      <c r="J13" s="87" t="s">
        <v>102</v>
      </c>
      <c r="K13" s="271">
        <f t="shared" si="0"/>
        <v>0.625</v>
      </c>
      <c r="L13" s="271">
        <f>IF(AND(D13="K",K13=1),'Maturity Rating'!$E$8,IF(K13="NA",K13,IF(D13="K",K13*'Maturity Rating'!$E$7,K13)))</f>
        <v>0.75</v>
      </c>
      <c r="M13" s="339"/>
      <c r="N13" s="339"/>
      <c r="O13" s="342"/>
      <c r="P13" s="27"/>
      <c r="Q13" s="27"/>
      <c r="S13" s="114">
        <f>VLOOKUP(G13,'Maturity Rating'!A$2:B$5,2,FALSE)</f>
        <v>2</v>
      </c>
      <c r="T13" s="114">
        <f>VLOOKUP(H13,'Maturity Rating'!A$8:B$11,2,FALSE)</f>
        <v>1</v>
      </c>
      <c r="U13" s="114">
        <f>VLOOKUP(I13,'Maturity Rating'!A$14:B$17,2,FALSE)</f>
        <v>1</v>
      </c>
      <c r="V13" s="114">
        <f>VLOOKUP(J13,'Maturity Rating'!A$20:B$23,2,FALSE)</f>
        <v>1</v>
      </c>
      <c r="W13" t="str">
        <f t="shared" si="1"/>
        <v>2111</v>
      </c>
    </row>
    <row r="14" spans="1:25">
      <c r="A14" s="74">
        <v>11.11</v>
      </c>
      <c r="B14" s="345"/>
      <c r="C14" s="365"/>
      <c r="D14" s="257"/>
      <c r="E14" s="28" t="s">
        <v>490</v>
      </c>
      <c r="F14" s="55" t="s">
        <v>89</v>
      </c>
      <c r="G14" s="263" t="s">
        <v>118</v>
      </c>
      <c r="H14" s="99" t="s">
        <v>100</v>
      </c>
      <c r="I14" s="263" t="s">
        <v>120</v>
      </c>
      <c r="J14" s="87" t="s">
        <v>129</v>
      </c>
      <c r="K14" s="271">
        <f t="shared" si="0"/>
        <v>3</v>
      </c>
      <c r="L14" s="271">
        <f>IF(AND(D14="K",K14=1),'Maturity Rating'!$E$8,IF(K14="NA",K14,IF(D14="K",K14*'Maturity Rating'!$E$7,K14)))</f>
        <v>3</v>
      </c>
      <c r="M14" s="339"/>
      <c r="N14" s="339"/>
      <c r="O14" s="342"/>
      <c r="P14" s="27"/>
      <c r="Q14" s="27"/>
      <c r="S14" s="114">
        <f>VLOOKUP(G14,'Maturity Rating'!A$2:B$5,2,FALSE)</f>
        <v>3</v>
      </c>
      <c r="T14" s="114">
        <f>VLOOKUP(H14,'Maturity Rating'!A$8:B$11,2,FALSE)</f>
        <v>3</v>
      </c>
      <c r="U14" s="114">
        <f>VLOOKUP(I14,'Maturity Rating'!A$14:B$17,2,FALSE)</f>
        <v>3</v>
      </c>
      <c r="V14" s="114">
        <f>VLOOKUP(J14,'Maturity Rating'!A$20:B$23,2,FALSE)</f>
        <v>3</v>
      </c>
      <c r="W14" t="str">
        <f t="shared" si="1"/>
        <v>3333</v>
      </c>
    </row>
    <row r="15" spans="1:25">
      <c r="A15" s="74">
        <v>11.12</v>
      </c>
      <c r="B15" s="345"/>
      <c r="C15" s="365"/>
      <c r="D15" s="257"/>
      <c r="E15" s="28" t="s">
        <v>491</v>
      </c>
      <c r="F15" s="55" t="s">
        <v>89</v>
      </c>
      <c r="G15" s="263" t="s">
        <v>118</v>
      </c>
      <c r="H15" s="263" t="s">
        <v>100</v>
      </c>
      <c r="I15" s="263" t="s">
        <v>120</v>
      </c>
      <c r="J15" s="87" t="s">
        <v>129</v>
      </c>
      <c r="K15" s="271">
        <f t="shared" si="0"/>
        <v>3</v>
      </c>
      <c r="L15" s="273">
        <f>IF(AND(D15="K",K15=1),'Maturity Rating'!$E$8,IF(K15="NA",K15,IF(D15="K",K15*'Maturity Rating'!$E$7,K15)))</f>
        <v>3</v>
      </c>
      <c r="M15" s="339"/>
      <c r="N15" s="339"/>
      <c r="O15" s="342"/>
      <c r="P15" s="27"/>
      <c r="Q15" s="27"/>
      <c r="S15" s="114">
        <f>VLOOKUP(G15,'Maturity Rating'!A$2:B$5,2,FALSE)</f>
        <v>3</v>
      </c>
      <c r="T15" s="114">
        <f>VLOOKUP(H15,'Maturity Rating'!A$8:B$11,2,FALSE)</f>
        <v>3</v>
      </c>
      <c r="U15" s="114">
        <f>VLOOKUP(I15,'Maturity Rating'!A$14:B$17,2,FALSE)</f>
        <v>3</v>
      </c>
      <c r="V15" s="114">
        <f>VLOOKUP(J15,'Maturity Rating'!A$20:B$23,2,FALSE)</f>
        <v>3</v>
      </c>
      <c r="W15" t="str">
        <f t="shared" si="1"/>
        <v>3333</v>
      </c>
    </row>
    <row r="16" spans="1:25" ht="29">
      <c r="A16" s="100">
        <v>11.13</v>
      </c>
      <c r="B16" s="346"/>
      <c r="C16" s="366"/>
      <c r="D16" s="258"/>
      <c r="E16" s="266" t="s">
        <v>492</v>
      </c>
      <c r="F16" s="55" t="s">
        <v>89</v>
      </c>
      <c r="G16" s="263" t="s">
        <v>127</v>
      </c>
      <c r="H16" s="263" t="s">
        <v>95</v>
      </c>
      <c r="I16" s="263" t="s">
        <v>206</v>
      </c>
      <c r="J16" s="87" t="s">
        <v>102</v>
      </c>
      <c r="K16" s="271">
        <f t="shared" ref="K16:K17" si="2">IF(W16="NANANANA",S16,IF(AND(OR(G16="Formally Documented",G16="Informally Documented"),H16="Not Implemented"),0.5*AVERAGE(S16:V16),AVERAGE(S16:V16)))</f>
        <v>1</v>
      </c>
      <c r="L16" s="273">
        <f>IF(AND(D16="K",K16=1),'Maturity Rating'!$E$8,IF(K16="NA",K16,IF(D16="K",K16*'Maturity Rating'!$E$7,K16)))</f>
        <v>1</v>
      </c>
      <c r="M16" s="389"/>
      <c r="N16" s="339"/>
      <c r="O16" s="352"/>
      <c r="P16" s="27"/>
      <c r="Q16" s="27"/>
      <c r="S16" s="114">
        <f>VLOOKUP(G16,'Maturity Rating'!A$2:B$5,2,FALSE)</f>
        <v>1</v>
      </c>
      <c r="T16" s="114">
        <f>VLOOKUP(H16,'Maturity Rating'!A$8:B$11,2,FALSE)</f>
        <v>1</v>
      </c>
      <c r="U16" s="114">
        <f>VLOOKUP(I16,'Maturity Rating'!A$14:B$17,2,FALSE)</f>
        <v>1</v>
      </c>
      <c r="V16" s="114">
        <f>VLOOKUP(J16,'Maturity Rating'!A$20:B$23,2,FALSE)</f>
        <v>1</v>
      </c>
      <c r="W16" t="str">
        <f t="shared" ref="W16:W17" si="3">CONCATENATE(S16,T16,U16,V16)</f>
        <v>1111</v>
      </c>
    </row>
    <row r="17" spans="1:24" ht="29">
      <c r="A17" s="100">
        <v>11.14</v>
      </c>
      <c r="B17" s="346"/>
      <c r="C17" s="366"/>
      <c r="D17" s="258"/>
      <c r="E17" s="266" t="s">
        <v>493</v>
      </c>
      <c r="F17" s="55" t="s">
        <v>89</v>
      </c>
      <c r="G17" s="263" t="s">
        <v>127</v>
      </c>
      <c r="H17" s="263" t="s">
        <v>95</v>
      </c>
      <c r="I17" s="263" t="s">
        <v>206</v>
      </c>
      <c r="J17" s="87" t="s">
        <v>102</v>
      </c>
      <c r="K17" s="271">
        <f t="shared" si="2"/>
        <v>1</v>
      </c>
      <c r="L17" s="273">
        <f>IF(AND(D17="K",K17=1),'Maturity Rating'!$E$8,IF(K17="NA",K17,IF(D17="K",K17*'Maturity Rating'!$E$7,K17)))</f>
        <v>1</v>
      </c>
      <c r="M17" s="389"/>
      <c r="N17" s="339"/>
      <c r="O17" s="352"/>
      <c r="P17" s="27"/>
      <c r="Q17" s="27"/>
      <c r="S17" s="114">
        <f>VLOOKUP(G17,'Maturity Rating'!A$2:B$5,2,FALSE)</f>
        <v>1</v>
      </c>
      <c r="T17" s="114">
        <f>VLOOKUP(H17,'Maturity Rating'!A$8:B$11,2,FALSE)</f>
        <v>1</v>
      </c>
      <c r="U17" s="114">
        <f>VLOOKUP(I17,'Maturity Rating'!A$14:B$17,2,FALSE)</f>
        <v>1</v>
      </c>
      <c r="V17" s="114">
        <f>VLOOKUP(J17,'Maturity Rating'!A$20:B$23,2,FALSE)</f>
        <v>1</v>
      </c>
      <c r="W17" t="str">
        <f t="shared" si="3"/>
        <v>1111</v>
      </c>
    </row>
    <row r="18" spans="1:24" ht="29">
      <c r="A18" s="100">
        <v>11.15</v>
      </c>
      <c r="B18" s="346"/>
      <c r="C18" s="366"/>
      <c r="D18" s="258"/>
      <c r="E18" s="267" t="s">
        <v>494</v>
      </c>
      <c r="F18" s="112" t="s">
        <v>89</v>
      </c>
      <c r="G18" s="263" t="s">
        <v>118</v>
      </c>
      <c r="H18" s="263" t="s">
        <v>100</v>
      </c>
      <c r="I18" s="263" t="s">
        <v>120</v>
      </c>
      <c r="J18" s="87" t="s">
        <v>129</v>
      </c>
      <c r="K18" s="271">
        <f t="shared" ref="K18" si="4">IF(W18="NANANANA",S18,IF(AND(OR(G18="Formally Documented",G18="Informally Documented"),H18="Not Implemented"),0.5*AVERAGE(S18:V18),AVERAGE(S18:V18)))</f>
        <v>3</v>
      </c>
      <c r="L18" s="273">
        <f>IF(AND(D18="K",K18=1),'Maturity Rating'!$E$8,IF(K18="NA",K18,IF(D18="K",K18*'Maturity Rating'!$E$7,K18)))</f>
        <v>3</v>
      </c>
      <c r="M18" s="389"/>
      <c r="N18" s="339"/>
      <c r="O18" s="352"/>
      <c r="P18" s="27"/>
      <c r="Q18" s="27"/>
      <c r="S18" s="114">
        <f>VLOOKUP(G18,'Maturity Rating'!A$2:B$5,2,FALSE)</f>
        <v>3</v>
      </c>
      <c r="T18" s="114">
        <f>VLOOKUP(H18,'Maturity Rating'!A$8:B$11,2,FALSE)</f>
        <v>3</v>
      </c>
      <c r="U18" s="114">
        <f>VLOOKUP(I18,'Maturity Rating'!A$14:B$17,2,FALSE)</f>
        <v>3</v>
      </c>
      <c r="V18" s="114">
        <f>VLOOKUP(J18,'Maturity Rating'!A$20:B$23,2,FALSE)</f>
        <v>3</v>
      </c>
      <c r="W18" t="str">
        <f t="shared" ref="W18" si="5">CONCATENATE(S18,T18,U18,V18)</f>
        <v>3333</v>
      </c>
    </row>
    <row r="19" spans="1:24" ht="29.5" thickBot="1">
      <c r="A19" s="75">
        <v>11.16</v>
      </c>
      <c r="B19" s="347"/>
      <c r="C19" s="367"/>
      <c r="D19" s="259"/>
      <c r="E19" s="282" t="s">
        <v>495</v>
      </c>
      <c r="F19" s="59" t="s">
        <v>89</v>
      </c>
      <c r="G19" s="259" t="s">
        <v>90</v>
      </c>
      <c r="H19" s="259" t="s">
        <v>125</v>
      </c>
      <c r="I19" s="259" t="s">
        <v>206</v>
      </c>
      <c r="J19" s="80" t="s">
        <v>102</v>
      </c>
      <c r="K19" s="272">
        <f t="shared" si="0"/>
        <v>1.5</v>
      </c>
      <c r="L19" s="272">
        <f>IF(AND(D19="K",K19=1),'Maturity Rating'!$E$8,IF(K19="NA",K19,IF(D19="K",K19*'Maturity Rating'!$E$7,K19)))</f>
        <v>1.5</v>
      </c>
      <c r="M19" s="390"/>
      <c r="N19" s="340"/>
      <c r="O19" s="343"/>
      <c r="P19" s="27"/>
      <c r="Q19" s="27"/>
      <c r="S19" s="114">
        <f>VLOOKUP(G19,'Maturity Rating'!A$2:B$5,2,FALSE)</f>
        <v>2</v>
      </c>
      <c r="T19" s="114">
        <f>VLOOKUP(H19,'Maturity Rating'!A$8:B$11,2,FALSE)</f>
        <v>2</v>
      </c>
      <c r="U19" s="114">
        <f>VLOOKUP(I19,'Maturity Rating'!A$14:B$17,2,FALSE)</f>
        <v>1</v>
      </c>
      <c r="V19" s="114">
        <f>VLOOKUP(J19,'Maturity Rating'!A$20:B$23,2,FALSE)</f>
        <v>1</v>
      </c>
      <c r="W19" t="str">
        <f t="shared" si="1"/>
        <v>2211</v>
      </c>
    </row>
    <row r="20" spans="1:24" ht="44" thickBot="1">
      <c r="A20" s="171">
        <v>11.17</v>
      </c>
      <c r="B20" s="173" t="s">
        <v>113</v>
      </c>
      <c r="C20" s="195" t="s">
        <v>114</v>
      </c>
      <c r="D20" s="173"/>
      <c r="E20" s="195" t="s">
        <v>496</v>
      </c>
      <c r="F20" s="172" t="s">
        <v>89</v>
      </c>
      <c r="G20" s="173" t="s">
        <v>118</v>
      </c>
      <c r="H20" s="173" t="s">
        <v>100</v>
      </c>
      <c r="I20" s="173" t="s">
        <v>120</v>
      </c>
      <c r="J20" s="174" t="s">
        <v>129</v>
      </c>
      <c r="K20" s="175">
        <f t="shared" si="0"/>
        <v>3</v>
      </c>
      <c r="L20" s="175">
        <f>IF(AND(D20="K",K20=1),'Maturity Rating'!$E$8,IF(K20="NA",K20,IF(D20="K",K20*'Maturity Rating'!$E$7,K20)))</f>
        <v>3</v>
      </c>
      <c r="M20" s="176">
        <f>IF(X20="NANANANA",K20,AVERAGE(L20:L20))</f>
        <v>3</v>
      </c>
      <c r="N20" s="175">
        <f>IF(M20&lt;1.1,1,IF(M20="NA",M20,(MIN(5,M20/3*5))))</f>
        <v>5</v>
      </c>
      <c r="O20" s="177" t="str">
        <f>IF(N20="NA",N20,VLOOKUP(Q20,'Maturity Rating'!G4:H8,2,FALSE))</f>
        <v>Adaptive</v>
      </c>
      <c r="P20" s="27"/>
      <c r="Q20" s="229">
        <f>IF(N20="NA",N20,ROUNDDOWN(N20,0))</f>
        <v>5</v>
      </c>
      <c r="S20" s="114">
        <f>VLOOKUP(G20,'Maturity Rating'!A$2:B$5,2,FALSE)</f>
        <v>3</v>
      </c>
      <c r="T20" s="114">
        <f>VLOOKUP(H20,'Maturity Rating'!A$8:B$11,2,FALSE)</f>
        <v>3</v>
      </c>
      <c r="U20" s="114">
        <f>VLOOKUP(I20,'Maturity Rating'!A$14:B$17,2,FALSE)</f>
        <v>3</v>
      </c>
      <c r="V20" s="114">
        <f>VLOOKUP(J20,'Maturity Rating'!A$20:B$23,2,FALSE)</f>
        <v>3</v>
      </c>
      <c r="W20" t="str">
        <f t="shared" si="1"/>
        <v>3333</v>
      </c>
      <c r="X20" t="str">
        <f>CONCATENATE(L20)</f>
        <v>3</v>
      </c>
    </row>
    <row r="21" spans="1:24">
      <c r="A21" s="93">
        <v>11.18</v>
      </c>
      <c r="B21" s="401" t="s">
        <v>497</v>
      </c>
      <c r="C21" s="364" t="s">
        <v>498</v>
      </c>
      <c r="D21" s="263" t="s">
        <v>87</v>
      </c>
      <c r="E21" s="147" t="s">
        <v>499</v>
      </c>
      <c r="F21" s="263" t="s">
        <v>89</v>
      </c>
      <c r="G21" s="263" t="s">
        <v>118</v>
      </c>
      <c r="H21" s="263" t="s">
        <v>100</v>
      </c>
      <c r="I21" s="263" t="s">
        <v>120</v>
      </c>
      <c r="J21" s="87" t="s">
        <v>129</v>
      </c>
      <c r="K21" s="271">
        <f t="shared" si="0"/>
        <v>3</v>
      </c>
      <c r="L21" s="271">
        <f>IF(AND(D21="K",K21=1),'Maturity Rating'!$E$8,IF(K21="NA",K21,IF(D21="K",K21*'Maturity Rating'!$E$7,K21)))</f>
        <v>3.5999999999999996</v>
      </c>
      <c r="M21" s="389">
        <f>IF(X21="NANANANANA",K21,AVERAGE(L21:L24))</f>
        <v>2.15</v>
      </c>
      <c r="N21" s="339">
        <f>IF(M21&lt;1.1,1,IF(M21="NA",M21,(MIN(5,M21/3*5))))</f>
        <v>3.5833333333333335</v>
      </c>
      <c r="O21" s="351" t="str">
        <f>IF(N21="NA",N21,VLOOKUP(Q21,'Maturity Rating'!G4:H8,2,FALSE))</f>
        <v>Defined</v>
      </c>
      <c r="P21" s="27"/>
      <c r="Q21" s="229">
        <f>IF(N21="NA",N21,ROUNDDOWN(N21,0))</f>
        <v>3</v>
      </c>
      <c r="S21" s="114">
        <f>VLOOKUP(G21,'Maturity Rating'!A$2:B$5,2,FALSE)</f>
        <v>3</v>
      </c>
      <c r="T21" s="114">
        <f>VLOOKUP(H21,'Maturity Rating'!A$8:B$11,2,FALSE)</f>
        <v>3</v>
      </c>
      <c r="U21" s="114">
        <f>VLOOKUP(I21,'Maturity Rating'!A$14:B$17,2,FALSE)</f>
        <v>3</v>
      </c>
      <c r="V21" s="114">
        <f>VLOOKUP(J21,'Maturity Rating'!A$20:B$23,2,FALSE)</f>
        <v>3</v>
      </c>
      <c r="W21" t="str">
        <f t="shared" si="1"/>
        <v>3333</v>
      </c>
      <c r="X21" t="str">
        <f>CONCATENATE(L21,L22,L23,L24)</f>
        <v>3.6311</v>
      </c>
    </row>
    <row r="22" spans="1:24" ht="29">
      <c r="A22" s="74">
        <v>11.19</v>
      </c>
      <c r="B22" s="402"/>
      <c r="C22" s="365"/>
      <c r="D22" s="257"/>
      <c r="E22" s="266" t="s">
        <v>500</v>
      </c>
      <c r="F22" s="257" t="s">
        <v>105</v>
      </c>
      <c r="G22" s="263" t="s">
        <v>118</v>
      </c>
      <c r="H22" s="99" t="s">
        <v>100</v>
      </c>
      <c r="I22" s="263" t="s">
        <v>120</v>
      </c>
      <c r="J22" s="257" t="s">
        <v>129</v>
      </c>
      <c r="K22" s="271">
        <f t="shared" si="0"/>
        <v>3</v>
      </c>
      <c r="L22" s="273">
        <f>IF(AND(D22="K",K22=1),'Maturity Rating'!$E$8,IF(K22="NA",K22,IF(D22="K",K22*'Maturity Rating'!$E$7,K22)))</f>
        <v>3</v>
      </c>
      <c r="M22" s="389"/>
      <c r="N22" s="339"/>
      <c r="O22" s="342"/>
      <c r="P22" s="27"/>
      <c r="Q22" s="27"/>
      <c r="S22" s="114">
        <f>VLOOKUP(G22,'Maturity Rating'!A$2:B$5,2,FALSE)</f>
        <v>3</v>
      </c>
      <c r="T22" s="114">
        <f>VLOOKUP(H22,'Maturity Rating'!A$8:B$11,2,FALSE)</f>
        <v>3</v>
      </c>
      <c r="U22" s="114">
        <f>VLOOKUP(I22,'Maturity Rating'!A$14:B$17,2,FALSE)</f>
        <v>3</v>
      </c>
      <c r="V22" s="114">
        <f>VLOOKUP(J22,'Maturity Rating'!A$20:B$23,2,FALSE)</f>
        <v>3</v>
      </c>
      <c r="W22" t="str">
        <f t="shared" si="1"/>
        <v>3333</v>
      </c>
    </row>
    <row r="23" spans="1:24" ht="29">
      <c r="A23" s="74" t="s">
        <v>501</v>
      </c>
      <c r="B23" s="402"/>
      <c r="C23" s="365"/>
      <c r="D23" s="257"/>
      <c r="E23" s="266" t="s">
        <v>502</v>
      </c>
      <c r="F23" s="257" t="s">
        <v>89</v>
      </c>
      <c r="G23" s="263" t="s">
        <v>127</v>
      </c>
      <c r="H23" s="263" t="s">
        <v>95</v>
      </c>
      <c r="I23" s="263" t="s">
        <v>206</v>
      </c>
      <c r="J23" s="257" t="s">
        <v>102</v>
      </c>
      <c r="K23" s="271">
        <f t="shared" si="0"/>
        <v>1</v>
      </c>
      <c r="L23" s="273">
        <f>IF(AND(D23="K",K23=1),'Maturity Rating'!$E$8,IF(K23="NA",K23,IF(D23="K",K23*'Maturity Rating'!$E$7,K23)))</f>
        <v>1</v>
      </c>
      <c r="M23" s="389"/>
      <c r="N23" s="339"/>
      <c r="O23" s="342"/>
      <c r="P23" s="27"/>
      <c r="Q23" s="27"/>
      <c r="S23" s="114">
        <f>VLOOKUP(G23,'Maturity Rating'!A$2:B$5,2,FALSE)</f>
        <v>1</v>
      </c>
      <c r="T23" s="114">
        <f>VLOOKUP(H23,'Maturity Rating'!A$8:B$11,2,FALSE)</f>
        <v>1</v>
      </c>
      <c r="U23" s="114">
        <f>VLOOKUP(I23,'Maturity Rating'!A$14:B$17,2,FALSE)</f>
        <v>1</v>
      </c>
      <c r="V23" s="114">
        <f>VLOOKUP(J23,'Maturity Rating'!A$20:B$23,2,FALSE)</f>
        <v>1</v>
      </c>
      <c r="W23" t="str">
        <f t="shared" si="1"/>
        <v>1111</v>
      </c>
    </row>
    <row r="24" spans="1:24" ht="29.5" thickBot="1">
      <c r="A24" s="100">
        <v>11.21</v>
      </c>
      <c r="B24" s="403"/>
      <c r="C24" s="366"/>
      <c r="D24" s="258"/>
      <c r="E24" s="267" t="s">
        <v>503</v>
      </c>
      <c r="F24" s="258" t="s">
        <v>105</v>
      </c>
      <c r="G24" s="258" t="s">
        <v>127</v>
      </c>
      <c r="H24" s="258" t="s">
        <v>95</v>
      </c>
      <c r="I24" s="258" t="s">
        <v>206</v>
      </c>
      <c r="J24" s="258" t="s">
        <v>102</v>
      </c>
      <c r="K24" s="274">
        <f t="shared" si="0"/>
        <v>1</v>
      </c>
      <c r="L24" s="274">
        <f>IF(AND(D24="K",K24=1),'Maturity Rating'!$E$8,IF(K24="NA",K24,IF(D24="K",K24*'Maturity Rating'!$E$7,K24)))</f>
        <v>1</v>
      </c>
      <c r="M24" s="389"/>
      <c r="N24" s="339"/>
      <c r="O24" s="352"/>
      <c r="P24" s="27"/>
      <c r="Q24" s="27"/>
      <c r="S24" s="114">
        <f>VLOOKUP(G24,'Maturity Rating'!A$2:B$5,2,FALSE)</f>
        <v>1</v>
      </c>
      <c r="T24" s="114">
        <f>VLOOKUP(H24,'Maturity Rating'!A$8:B$11,2,FALSE)</f>
        <v>1</v>
      </c>
      <c r="U24" s="114">
        <f>VLOOKUP(I24,'Maturity Rating'!A$14:B$17,2,FALSE)</f>
        <v>1</v>
      </c>
      <c r="V24" s="114">
        <f>VLOOKUP(J24,'Maturity Rating'!A$20:B$23,2,FALSE)</f>
        <v>1</v>
      </c>
      <c r="W24" t="str">
        <f t="shared" si="1"/>
        <v>1111</v>
      </c>
    </row>
    <row r="25" spans="1:24" ht="29">
      <c r="A25" s="36">
        <v>11.22</v>
      </c>
      <c r="B25" s="359" t="s">
        <v>466</v>
      </c>
      <c r="C25" s="368" t="s">
        <v>504</v>
      </c>
      <c r="D25" s="71"/>
      <c r="E25" s="181" t="s">
        <v>505</v>
      </c>
      <c r="F25" s="196" t="s">
        <v>89</v>
      </c>
      <c r="G25" s="256" t="s">
        <v>127</v>
      </c>
      <c r="H25" s="256" t="s">
        <v>125</v>
      </c>
      <c r="I25" s="256" t="s">
        <v>206</v>
      </c>
      <c r="J25" s="256" t="s">
        <v>102</v>
      </c>
      <c r="K25" s="278">
        <f t="shared" ref="K25:K28" si="6">IF(W25="NANANANA",S25,IF(AND(OR(G25="Formally Documented",G25="Informally Documented"),H25="Not Implemented"),0.5*AVERAGE(S25:V25),AVERAGE(S25:V25)))</f>
        <v>1.25</v>
      </c>
      <c r="L25" s="278">
        <f>IF(AND(D25="K",K25=1),'Maturity Rating'!$E$8,IF(K25="NA",K25,IF(D25="K",K25*'Maturity Rating'!$E$7,K25)))</f>
        <v>1.25</v>
      </c>
      <c r="M25" s="381">
        <f>IF(X25="NANANANANA",K25,AVERAGE(L25:L30))</f>
        <v>1.375</v>
      </c>
      <c r="N25" s="381">
        <f>IF(M25&lt;1.1,1,IF(M25="NA",M25,(MIN(5,M25/3*5))))</f>
        <v>2.2916666666666665</v>
      </c>
      <c r="O25" s="341" t="str">
        <f>IF(N25="NA",N25,VLOOKUP(Q25,'Maturity Rating'!G4:H8,2,FALSE))</f>
        <v>Partial</v>
      </c>
      <c r="Q25" s="229">
        <f>IF(N25="NA",N25,ROUNDDOWN(N25,0))</f>
        <v>2</v>
      </c>
      <c r="S25" s="114">
        <f>VLOOKUP(G25,'Maturity Rating'!A$2:B$5,2,FALSE)</f>
        <v>1</v>
      </c>
      <c r="T25" s="114">
        <f>VLOOKUP(H25,'Maturity Rating'!A$8:B$11,2,FALSE)</f>
        <v>2</v>
      </c>
      <c r="U25" s="114">
        <f>VLOOKUP(I25,'Maturity Rating'!A$14:B$17,2,FALSE)</f>
        <v>1</v>
      </c>
      <c r="V25" s="114">
        <f>VLOOKUP(J25,'Maturity Rating'!A$20:B$23,2,FALSE)</f>
        <v>1</v>
      </c>
      <c r="W25" t="str">
        <f t="shared" ref="W25:W30" si="7">CONCATENATE(S25,T25,U25,V25)</f>
        <v>1211</v>
      </c>
      <c r="X25" t="str">
        <f>CONCATENATE(L25,L26,L27,L28,L29,L30)</f>
        <v>1.2531111</v>
      </c>
    </row>
    <row r="26" spans="1:24">
      <c r="A26" s="74">
        <v>11.23</v>
      </c>
      <c r="B26" s="345"/>
      <c r="C26" s="365"/>
      <c r="D26" s="49"/>
      <c r="E26" s="182" t="s">
        <v>506</v>
      </c>
      <c r="F26" s="197" t="s">
        <v>105</v>
      </c>
      <c r="G26" s="257" t="s">
        <v>118</v>
      </c>
      <c r="H26" s="55" t="s">
        <v>100</v>
      </c>
      <c r="I26" s="257" t="s">
        <v>120</v>
      </c>
      <c r="J26" s="257" t="s">
        <v>129</v>
      </c>
      <c r="K26" s="273">
        <f t="shared" si="6"/>
        <v>3</v>
      </c>
      <c r="L26" s="273">
        <f>IF(AND(D26="K",K26=1),'Maturity Rating'!$E$8,IF(K26="NA",K26,IF(D26="K",K26*'Maturity Rating'!$E$7,K26)))</f>
        <v>3</v>
      </c>
      <c r="M26" s="374"/>
      <c r="N26" s="374"/>
      <c r="O26" s="342"/>
      <c r="S26" s="114">
        <f>VLOOKUP(G26,'Maturity Rating'!A$2:B$5,2,FALSE)</f>
        <v>3</v>
      </c>
      <c r="T26" s="114">
        <f>VLOOKUP(H26,'Maturity Rating'!A$8:B$11,2,FALSE)</f>
        <v>3</v>
      </c>
      <c r="U26" s="114">
        <f>VLOOKUP(I26,'Maturity Rating'!A$14:B$17,2,FALSE)</f>
        <v>3</v>
      </c>
      <c r="V26" s="114">
        <f>VLOOKUP(J26,'Maturity Rating'!A$20:B$23,2,FALSE)</f>
        <v>3</v>
      </c>
      <c r="W26" t="str">
        <f t="shared" si="7"/>
        <v>3333</v>
      </c>
    </row>
    <row r="27" spans="1:24" ht="29">
      <c r="A27" s="74">
        <v>11.24</v>
      </c>
      <c r="B27" s="345"/>
      <c r="C27" s="365"/>
      <c r="D27" s="49"/>
      <c r="E27" s="182" t="s">
        <v>507</v>
      </c>
      <c r="F27" s="197" t="s">
        <v>89</v>
      </c>
      <c r="G27" s="257" t="s">
        <v>127</v>
      </c>
      <c r="H27" s="257" t="s">
        <v>95</v>
      </c>
      <c r="I27" s="257" t="s">
        <v>206</v>
      </c>
      <c r="J27" s="257" t="s">
        <v>102</v>
      </c>
      <c r="K27" s="273">
        <f t="shared" si="6"/>
        <v>1</v>
      </c>
      <c r="L27" s="273">
        <f>IF(AND(D27="K",K27=1),'Maturity Rating'!$E$8,IF(K27="NA",K27,IF(D27="K",K27*'Maturity Rating'!$E$7,K27)))</f>
        <v>1</v>
      </c>
      <c r="M27" s="374"/>
      <c r="N27" s="374"/>
      <c r="O27" s="342"/>
      <c r="S27" s="114">
        <f>VLOOKUP(G27,'Maturity Rating'!A$2:B$5,2,FALSE)</f>
        <v>1</v>
      </c>
      <c r="T27" s="114">
        <f>VLOOKUP(H27,'Maturity Rating'!A$8:B$11,2,FALSE)</f>
        <v>1</v>
      </c>
      <c r="U27" s="114">
        <f>VLOOKUP(I27,'Maturity Rating'!A$14:B$17,2,FALSE)</f>
        <v>1</v>
      </c>
      <c r="V27" s="114">
        <f>VLOOKUP(J27,'Maturity Rating'!A$20:B$23,2,FALSE)</f>
        <v>1</v>
      </c>
      <c r="W27" t="str">
        <f t="shared" si="7"/>
        <v>1111</v>
      </c>
    </row>
    <row r="28" spans="1:24" ht="29">
      <c r="A28" s="74">
        <v>11.25</v>
      </c>
      <c r="B28" s="345"/>
      <c r="C28" s="365"/>
      <c r="D28" s="49"/>
      <c r="E28" s="182" t="s">
        <v>508</v>
      </c>
      <c r="F28" s="197" t="s">
        <v>105</v>
      </c>
      <c r="G28" s="257" t="s">
        <v>127</v>
      </c>
      <c r="H28" s="257" t="s">
        <v>95</v>
      </c>
      <c r="I28" s="257" t="s">
        <v>206</v>
      </c>
      <c r="J28" s="257" t="s">
        <v>102</v>
      </c>
      <c r="K28" s="273">
        <f t="shared" si="6"/>
        <v>1</v>
      </c>
      <c r="L28" s="273">
        <f>IF(AND(D28="K",K28=1),'Maturity Rating'!$E$8,IF(K28="NA",K28,IF(D28="K",K28*'Maturity Rating'!$E$7,K28)))</f>
        <v>1</v>
      </c>
      <c r="M28" s="374"/>
      <c r="N28" s="374"/>
      <c r="O28" s="342"/>
      <c r="S28" s="114">
        <f>VLOOKUP(G28,'Maturity Rating'!A$2:B$5,2,FALSE)</f>
        <v>1</v>
      </c>
      <c r="T28" s="114">
        <f>VLOOKUP(H28,'Maturity Rating'!A$8:B$11,2,FALSE)</f>
        <v>1</v>
      </c>
      <c r="U28" s="114">
        <f>VLOOKUP(I28,'Maturity Rating'!A$14:B$17,2,FALSE)</f>
        <v>1</v>
      </c>
      <c r="V28" s="114">
        <f>VLOOKUP(J28,'Maturity Rating'!A$20:B$23,2,FALSE)</f>
        <v>1</v>
      </c>
      <c r="W28" t="str">
        <f t="shared" si="7"/>
        <v>1111</v>
      </c>
    </row>
    <row r="29" spans="1:24" ht="29">
      <c r="A29" s="74">
        <v>11.26</v>
      </c>
      <c r="B29" s="345"/>
      <c r="C29" s="365"/>
      <c r="D29" s="49"/>
      <c r="E29" s="182" t="s">
        <v>509</v>
      </c>
      <c r="F29" s="197" t="s">
        <v>105</v>
      </c>
      <c r="G29" s="257" t="s">
        <v>127</v>
      </c>
      <c r="H29" s="257" t="s">
        <v>95</v>
      </c>
      <c r="I29" s="257" t="s">
        <v>206</v>
      </c>
      <c r="J29" s="257" t="s">
        <v>102</v>
      </c>
      <c r="K29" s="273">
        <f t="shared" ref="K29:K30" si="8">IF(W29="NANANANA",S29,IF(AND(OR(G29="Formally Documented",G29="Informally Documented"),H29="Not Implemented"),0.5*AVERAGE(S29:V29),AVERAGE(S29:V29)))</f>
        <v>1</v>
      </c>
      <c r="L29" s="273">
        <f>IF(AND(D29="K",K29=1),'Maturity Rating'!$E$8,IF(K29="NA",K29,IF(D29="K",K29*'Maturity Rating'!$E$7,K29)))</f>
        <v>1</v>
      </c>
      <c r="M29" s="374"/>
      <c r="N29" s="374"/>
      <c r="O29" s="342"/>
      <c r="S29" s="114">
        <f>VLOOKUP(G29,'Maturity Rating'!A$2:B$5,2,FALSE)</f>
        <v>1</v>
      </c>
      <c r="T29" s="114">
        <f>VLOOKUP(H29,'Maturity Rating'!A$8:B$11,2,FALSE)</f>
        <v>1</v>
      </c>
      <c r="U29" s="114">
        <f>VLOOKUP(I29,'Maturity Rating'!A$14:B$17,2,FALSE)</f>
        <v>1</v>
      </c>
      <c r="V29" s="114">
        <f>VLOOKUP(J29,'Maturity Rating'!A$20:B$23,2,FALSE)</f>
        <v>1</v>
      </c>
      <c r="W29" t="str">
        <f t="shared" si="7"/>
        <v>1111</v>
      </c>
    </row>
    <row r="30" spans="1:24" ht="29.5" thickBot="1">
      <c r="A30" s="100">
        <v>11.27</v>
      </c>
      <c r="B30" s="346"/>
      <c r="C30" s="366"/>
      <c r="D30" s="119"/>
      <c r="E30" s="184" t="s">
        <v>510</v>
      </c>
      <c r="F30" s="198" t="s">
        <v>105</v>
      </c>
      <c r="G30" s="258" t="s">
        <v>127</v>
      </c>
      <c r="H30" s="258" t="s">
        <v>95</v>
      </c>
      <c r="I30" s="258" t="s">
        <v>206</v>
      </c>
      <c r="J30" s="258" t="s">
        <v>102</v>
      </c>
      <c r="K30" s="274">
        <f t="shared" si="8"/>
        <v>1</v>
      </c>
      <c r="L30" s="274">
        <f>IF(AND(D30="K",K30=1),'Maturity Rating'!$E$8,IF(K30="NA",K30,IF(D30="K",K30*'Maturity Rating'!$E$7,K30)))</f>
        <v>1</v>
      </c>
      <c r="M30" s="375"/>
      <c r="N30" s="375"/>
      <c r="O30" s="352"/>
      <c r="S30" s="114">
        <f>VLOOKUP(G30,'Maturity Rating'!A$2:B$5,2,FALSE)</f>
        <v>1</v>
      </c>
      <c r="T30" s="114">
        <f>VLOOKUP(H30,'Maturity Rating'!A$8:B$11,2,FALSE)</f>
        <v>1</v>
      </c>
      <c r="U30" s="114">
        <f>VLOOKUP(I30,'Maturity Rating'!A$14:B$17,2,FALSE)</f>
        <v>1</v>
      </c>
      <c r="V30" s="114">
        <f>VLOOKUP(J30,'Maturity Rating'!A$20:B$23,2,FALSE)</f>
        <v>1</v>
      </c>
      <c r="W30" t="str">
        <f t="shared" si="7"/>
        <v>1111</v>
      </c>
    </row>
    <row r="31" spans="1:24" ht="27" customHeight="1" thickBot="1">
      <c r="A31" s="36">
        <v>11.28</v>
      </c>
      <c r="B31" s="359" t="s">
        <v>511</v>
      </c>
      <c r="C31" s="357" t="s">
        <v>512</v>
      </c>
      <c r="D31" s="178"/>
      <c r="E31" s="277" t="s">
        <v>513</v>
      </c>
      <c r="F31" s="201" t="s">
        <v>89</v>
      </c>
      <c r="G31" s="256" t="s">
        <v>127</v>
      </c>
      <c r="H31" s="256" t="s">
        <v>95</v>
      </c>
      <c r="I31" s="256" t="s">
        <v>206</v>
      </c>
      <c r="J31" s="256" t="s">
        <v>102</v>
      </c>
      <c r="K31" s="278">
        <f t="shared" ref="K31:K35" si="9">IF(W31="NANANANA",S31,IF(AND(OR(G31="Formally Documented",G31="Informally Documented"),H31="Not Implemented"),0.5*AVERAGE(S31:V31),AVERAGE(S31:V31)))</f>
        <v>1</v>
      </c>
      <c r="L31" s="278">
        <f>IF(AND(D31="K",K31=1),'Maturity Rating'!$E$8,IF(K31="NA",K31,IF(D31="K",K31*'Maturity Rating'!$E$7,K31)))</f>
        <v>1</v>
      </c>
      <c r="M31" s="338">
        <f>IF(X31="NANANANANA",K31,AVERAGE(L31:L34))</f>
        <v>1</v>
      </c>
      <c r="N31" s="338">
        <f>IF(M31&lt;1.1,1,IF(M31="NA",M31,(MIN(5,M31/3*5))))</f>
        <v>1</v>
      </c>
      <c r="O31" s="363" t="str">
        <f>IF(N31="NA",N31,VLOOKUP(Q31,'Maturity Rating'!G4:H8,2,FALSE))</f>
        <v>Initial</v>
      </c>
      <c r="Q31" s="229">
        <f>IF(N31="NA",N31,ROUNDDOWN(N31,0))</f>
        <v>1</v>
      </c>
      <c r="S31" s="114">
        <f>VLOOKUP(G31,'Maturity Rating'!A$2:B$5,2,FALSE)</f>
        <v>1</v>
      </c>
      <c r="T31" s="114">
        <f>VLOOKUP(H31,'Maturity Rating'!A$8:B$11,2,FALSE)</f>
        <v>1</v>
      </c>
      <c r="U31" s="114">
        <f>VLOOKUP(I31,'Maturity Rating'!A$14:B$17,2,FALSE)</f>
        <v>1</v>
      </c>
      <c r="V31" s="114">
        <f>VLOOKUP(J31,'Maturity Rating'!A$20:B$23,2,FALSE)</f>
        <v>1</v>
      </c>
      <c r="W31" t="str">
        <f t="shared" ref="W31:W35" si="10">CONCATENATE(S31,T31,U31,V31)</f>
        <v>1111</v>
      </c>
      <c r="X31" t="str">
        <f>CONCATENATE(L31,L32,L33,L34,L35)</f>
        <v>11111</v>
      </c>
    </row>
    <row r="32" spans="1:24" ht="23" customHeight="1" thickBot="1">
      <c r="A32" s="74">
        <v>11.29</v>
      </c>
      <c r="B32" s="345"/>
      <c r="C32" s="358"/>
      <c r="D32" s="69"/>
      <c r="E32" s="266" t="s">
        <v>514</v>
      </c>
      <c r="F32" s="199" t="s">
        <v>89</v>
      </c>
      <c r="G32" s="256" t="s">
        <v>127</v>
      </c>
      <c r="H32" s="256" t="s">
        <v>95</v>
      </c>
      <c r="I32" s="256" t="s">
        <v>206</v>
      </c>
      <c r="J32" s="256" t="s">
        <v>102</v>
      </c>
      <c r="K32" s="273">
        <f t="shared" si="9"/>
        <v>1</v>
      </c>
      <c r="L32" s="273">
        <f>IF(AND(D32="K",K32=1),'Maturity Rating'!$E$8,IF(K32="NA",K32,IF(D32="K",K32*'Maturity Rating'!$E$7,K32)))</f>
        <v>1</v>
      </c>
      <c r="M32" s="339"/>
      <c r="N32" s="339"/>
      <c r="O32" s="361"/>
      <c r="S32" s="114">
        <f>VLOOKUP(G32,'Maturity Rating'!A$2:B$5,2,FALSE)</f>
        <v>1</v>
      </c>
      <c r="T32" s="114">
        <f>VLOOKUP(H32,'Maturity Rating'!A$8:B$11,2,FALSE)</f>
        <v>1</v>
      </c>
      <c r="U32" s="114">
        <f>VLOOKUP(I32,'Maturity Rating'!A$14:B$17,2,FALSE)</f>
        <v>1</v>
      </c>
      <c r="V32" s="114">
        <f>VLOOKUP(J32,'Maturity Rating'!A$20:B$23,2,FALSE)</f>
        <v>1</v>
      </c>
      <c r="W32" t="str">
        <f t="shared" si="10"/>
        <v>1111</v>
      </c>
    </row>
    <row r="33" spans="1:24" ht="73" thickBot="1">
      <c r="A33" s="74" t="s">
        <v>515</v>
      </c>
      <c r="B33" s="345"/>
      <c r="C33" s="358"/>
      <c r="D33" s="69"/>
      <c r="E33" s="266" t="s">
        <v>516</v>
      </c>
      <c r="F33" s="199" t="s">
        <v>89</v>
      </c>
      <c r="G33" s="256" t="s">
        <v>127</v>
      </c>
      <c r="H33" s="256" t="s">
        <v>95</v>
      </c>
      <c r="I33" s="256" t="s">
        <v>206</v>
      </c>
      <c r="J33" s="256" t="s">
        <v>102</v>
      </c>
      <c r="K33" s="273">
        <f t="shared" si="9"/>
        <v>1</v>
      </c>
      <c r="L33" s="273">
        <f>IF(AND(D33="K",K33=1),'Maturity Rating'!$E$8,IF(K33="NA",K33,IF(D33="K",K33*'Maturity Rating'!$E$7,K33)))</f>
        <v>1</v>
      </c>
      <c r="M33" s="339"/>
      <c r="N33" s="339"/>
      <c r="O33" s="361"/>
      <c r="S33" s="114">
        <f>VLOOKUP(G33,'Maturity Rating'!A$2:B$5,2,FALSE)</f>
        <v>1</v>
      </c>
      <c r="T33" s="114">
        <f>VLOOKUP(H33,'Maturity Rating'!A$8:B$11,2,FALSE)</f>
        <v>1</v>
      </c>
      <c r="U33" s="114">
        <f>VLOOKUP(I33,'Maturity Rating'!A$14:B$17,2,FALSE)</f>
        <v>1</v>
      </c>
      <c r="V33" s="114">
        <f>VLOOKUP(J33,'Maturity Rating'!A$20:B$23,2,FALSE)</f>
        <v>1</v>
      </c>
      <c r="W33" t="str">
        <f t="shared" si="10"/>
        <v>1111</v>
      </c>
    </row>
    <row r="34" spans="1:24" ht="44" thickBot="1">
      <c r="A34" s="74">
        <v>11.31</v>
      </c>
      <c r="B34" s="345"/>
      <c r="C34" s="358"/>
      <c r="D34" s="69"/>
      <c r="E34" s="266" t="s">
        <v>517</v>
      </c>
      <c r="F34" s="199" t="s">
        <v>89</v>
      </c>
      <c r="G34" s="256" t="s">
        <v>127</v>
      </c>
      <c r="H34" s="256" t="s">
        <v>95</v>
      </c>
      <c r="I34" s="256" t="s">
        <v>206</v>
      </c>
      <c r="J34" s="256" t="s">
        <v>102</v>
      </c>
      <c r="K34" s="273">
        <f t="shared" si="9"/>
        <v>1</v>
      </c>
      <c r="L34" s="273">
        <f>IF(AND(D34="K",K34=1),'Maturity Rating'!$E$8,IF(K34="NA",K34,IF(D34="K",K34*'Maturity Rating'!$E$7,K34)))</f>
        <v>1</v>
      </c>
      <c r="M34" s="339"/>
      <c r="N34" s="339"/>
      <c r="O34" s="361"/>
      <c r="S34" s="114">
        <f>VLOOKUP(G34,'Maturity Rating'!A$2:B$5,2,FALSE)</f>
        <v>1</v>
      </c>
      <c r="T34" s="114">
        <f>VLOOKUP(H34,'Maturity Rating'!A$8:B$11,2,FALSE)</f>
        <v>1</v>
      </c>
      <c r="U34" s="114">
        <f>VLOOKUP(I34,'Maturity Rating'!A$14:B$17,2,FALSE)</f>
        <v>1</v>
      </c>
      <c r="V34" s="114">
        <f>VLOOKUP(J34,'Maturity Rating'!A$20:B$23,2,FALSE)</f>
        <v>1</v>
      </c>
      <c r="W34" t="str">
        <f t="shared" si="10"/>
        <v>1111</v>
      </c>
    </row>
    <row r="35" spans="1:24" ht="29.5" thickBot="1">
      <c r="A35" s="75">
        <v>11.32</v>
      </c>
      <c r="B35" s="347"/>
      <c r="C35" s="360"/>
      <c r="D35" s="70"/>
      <c r="E35" s="268" t="s">
        <v>518</v>
      </c>
      <c r="F35" s="202" t="s">
        <v>89</v>
      </c>
      <c r="G35" s="256" t="s">
        <v>127</v>
      </c>
      <c r="H35" s="256" t="s">
        <v>95</v>
      </c>
      <c r="I35" s="256" t="s">
        <v>206</v>
      </c>
      <c r="J35" s="256" t="s">
        <v>102</v>
      </c>
      <c r="K35" s="272">
        <f t="shared" si="9"/>
        <v>1</v>
      </c>
      <c r="L35" s="272">
        <f>IF(AND(D35="K",K35=1),'Maturity Rating'!$E$8,IF(K35="NA",K35,IF(D35="K",K35*'Maturity Rating'!$E$7,K35)))</f>
        <v>1</v>
      </c>
      <c r="M35" s="340"/>
      <c r="N35" s="340"/>
      <c r="O35" s="362"/>
      <c r="S35" s="114">
        <f>VLOOKUP(G35,'Maturity Rating'!A$2:B$5,2,FALSE)</f>
        <v>1</v>
      </c>
      <c r="T35" s="114">
        <f>VLOOKUP(H35,'Maturity Rating'!A$8:B$11,2,FALSE)</f>
        <v>1</v>
      </c>
      <c r="U35" s="114">
        <f>VLOOKUP(I35,'Maturity Rating'!A$14:B$17,2,FALSE)</f>
        <v>1</v>
      </c>
      <c r="V35" s="114">
        <f>VLOOKUP(J35,'Maturity Rating'!A$20:B$23,2,FALSE)</f>
        <v>1</v>
      </c>
      <c r="W35" t="str">
        <f t="shared" si="10"/>
        <v>1111</v>
      </c>
    </row>
    <row r="36" spans="1:24" ht="29">
      <c r="A36" s="93">
        <v>11.33</v>
      </c>
      <c r="B36" s="382" t="s">
        <v>222</v>
      </c>
      <c r="C36" s="364" t="s">
        <v>519</v>
      </c>
      <c r="D36" s="263" t="s">
        <v>87</v>
      </c>
      <c r="E36" s="246" t="s">
        <v>224</v>
      </c>
      <c r="F36" s="118" t="s">
        <v>89</v>
      </c>
      <c r="G36" s="263" t="s">
        <v>90</v>
      </c>
      <c r="H36" s="263" t="s">
        <v>125</v>
      </c>
      <c r="I36" s="263" t="s">
        <v>101</v>
      </c>
      <c r="J36" s="263" t="s">
        <v>464</v>
      </c>
      <c r="K36" s="271">
        <f t="shared" ref="K36:K47" si="11">IF(W36="NANANANA",S36,IF(AND(OR(G36="Formally Documented",G36="Informally Documented"),H36="Not Implemented"),0.5*AVERAGE(S36:V36),AVERAGE(S36:V36)))</f>
        <v>2</v>
      </c>
      <c r="L36" s="200">
        <f>IF(AND(D36="K",K36=1),'Maturity Rating'!$E$8,IF(K36="NA",K36,IF(D36="K",K36*'Maturity Rating'!$E$7,K36)))</f>
        <v>2.4</v>
      </c>
      <c r="M36" s="371">
        <f>IF(X36="NANANANANA",K36,AVERAGE(L36:L41))</f>
        <v>1.3666666666666665</v>
      </c>
      <c r="N36" s="371">
        <f>IF(M36&lt;1.1,1,IF(M36="NA",M36,(MIN(5,M36/3*5))))</f>
        <v>2.2777777777777777</v>
      </c>
      <c r="O36" s="351" t="str">
        <f>IF(N36="NA",N36,VLOOKUP(Q36,'Maturity Rating'!G4:H8,2,FALSE))</f>
        <v>Partial</v>
      </c>
      <c r="Q36" s="229">
        <f>IF(N36="NA",N36,ROUNDDOWN(N36,0))</f>
        <v>2</v>
      </c>
      <c r="S36" s="114">
        <f>VLOOKUP(G36,'Maturity Rating'!A$2:B$5,2,FALSE)</f>
        <v>2</v>
      </c>
      <c r="T36" s="114">
        <f>VLOOKUP(H36,'Maturity Rating'!A$8:B$11,2,FALSE)</f>
        <v>2</v>
      </c>
      <c r="U36" s="114">
        <f>VLOOKUP(I36,'Maturity Rating'!A$14:B$17,2,FALSE)</f>
        <v>2</v>
      </c>
      <c r="V36" s="114">
        <f>VLOOKUP(J36,'Maturity Rating'!A$20:B$23,2,FALSE)</f>
        <v>2</v>
      </c>
      <c r="W36" t="str">
        <f t="shared" ref="W36:W47" si="12">CONCATENATE(S36,T36,U36,V36)</f>
        <v>2222</v>
      </c>
      <c r="X36" t="str">
        <f>CONCATENATE(L36,L37,L38,L39,L40,L41)</f>
        <v>2.420.8111</v>
      </c>
    </row>
    <row r="37" spans="1:24" ht="29">
      <c r="A37" s="74">
        <v>11.34</v>
      </c>
      <c r="B37" s="378"/>
      <c r="C37" s="365"/>
      <c r="D37" s="257"/>
      <c r="E37" s="247" t="s">
        <v>93</v>
      </c>
      <c r="F37" s="49" t="s">
        <v>89</v>
      </c>
      <c r="G37" s="257" t="s">
        <v>90</v>
      </c>
      <c r="H37" s="257" t="s">
        <v>125</v>
      </c>
      <c r="I37" s="257" t="s">
        <v>206</v>
      </c>
      <c r="J37" s="257" t="s">
        <v>129</v>
      </c>
      <c r="K37" s="273">
        <f t="shared" si="11"/>
        <v>2</v>
      </c>
      <c r="L37" s="169">
        <f>IF(AND(D37="K",K37=1),'Maturity Rating'!$E$8,IF(K37="NA",K37,IF(D37="K",K37*'Maturity Rating'!$E$7,K37)))</f>
        <v>2</v>
      </c>
      <c r="M37" s="374"/>
      <c r="N37" s="374"/>
      <c r="O37" s="342"/>
      <c r="S37" s="114">
        <f>VLOOKUP(G37,'Maturity Rating'!A$2:B$5,2,FALSE)</f>
        <v>2</v>
      </c>
      <c r="T37" s="114">
        <f>VLOOKUP(H37,'Maturity Rating'!A$8:B$11,2,FALSE)</f>
        <v>2</v>
      </c>
      <c r="U37" s="114">
        <f>VLOOKUP(I37,'Maturity Rating'!A$14:B$17,2,FALSE)</f>
        <v>1</v>
      </c>
      <c r="V37" s="114">
        <f>VLOOKUP(J37,'Maturity Rating'!A$20:B$23,2,FALSE)</f>
        <v>3</v>
      </c>
      <c r="W37" t="str">
        <f t="shared" si="12"/>
        <v>2213</v>
      </c>
    </row>
    <row r="38" spans="1:24" ht="29">
      <c r="A38" s="74">
        <v>11.35</v>
      </c>
      <c r="B38" s="378"/>
      <c r="C38" s="365"/>
      <c r="D38" s="257" t="s">
        <v>87</v>
      </c>
      <c r="E38" s="248" t="s">
        <v>225</v>
      </c>
      <c r="F38" s="49" t="s">
        <v>89</v>
      </c>
      <c r="G38" s="257" t="s">
        <v>127</v>
      </c>
      <c r="H38" s="257" t="s">
        <v>95</v>
      </c>
      <c r="I38" s="257" t="s">
        <v>206</v>
      </c>
      <c r="J38" s="257" t="s">
        <v>102</v>
      </c>
      <c r="K38" s="273">
        <f t="shared" si="11"/>
        <v>1</v>
      </c>
      <c r="L38" s="169">
        <f>IF(AND(D38="K",K38=1),'Maturity Rating'!$E$8,IF(K38="NA",K38,IF(D38="K",K38*'Maturity Rating'!$E$7,K38)))</f>
        <v>0.8</v>
      </c>
      <c r="M38" s="374"/>
      <c r="N38" s="374"/>
      <c r="O38" s="342"/>
      <c r="S38" s="114">
        <f>VLOOKUP(G38,'Maturity Rating'!A$2:B$5,2,FALSE)</f>
        <v>1</v>
      </c>
      <c r="T38" s="114">
        <f>VLOOKUP(H38,'Maturity Rating'!A$8:B$11,2,FALSE)</f>
        <v>1</v>
      </c>
      <c r="U38" s="114">
        <f>VLOOKUP(I38,'Maturity Rating'!A$14:B$17,2,FALSE)</f>
        <v>1</v>
      </c>
      <c r="V38" s="114">
        <f>VLOOKUP(J38,'Maturity Rating'!A$20:B$23,2,FALSE)</f>
        <v>1</v>
      </c>
      <c r="W38" t="str">
        <f t="shared" si="12"/>
        <v>1111</v>
      </c>
    </row>
    <row r="39" spans="1:24" ht="29">
      <c r="A39" s="74">
        <v>11.36</v>
      </c>
      <c r="B39" s="378"/>
      <c r="C39" s="365"/>
      <c r="D39" s="257"/>
      <c r="E39" s="247" t="s">
        <v>226</v>
      </c>
      <c r="F39" s="49" t="s">
        <v>89</v>
      </c>
      <c r="G39" s="257" t="s">
        <v>127</v>
      </c>
      <c r="H39" s="257" t="s">
        <v>95</v>
      </c>
      <c r="I39" s="257" t="s">
        <v>206</v>
      </c>
      <c r="J39" s="257" t="s">
        <v>102</v>
      </c>
      <c r="K39" s="273">
        <f t="shared" si="11"/>
        <v>1</v>
      </c>
      <c r="L39" s="169">
        <f>IF(AND(D39="K",K39=1),'Maturity Rating'!$E$8,IF(K39="NA",K39,IF(D39="K",K39*'Maturity Rating'!$E$7,K39)))</f>
        <v>1</v>
      </c>
      <c r="M39" s="374"/>
      <c r="N39" s="374"/>
      <c r="O39" s="342"/>
      <c r="S39" s="114">
        <f>VLOOKUP(G39,'Maturity Rating'!A$2:B$5,2,FALSE)</f>
        <v>1</v>
      </c>
      <c r="T39" s="114">
        <f>VLOOKUP(H39,'Maturity Rating'!A$8:B$11,2,FALSE)</f>
        <v>1</v>
      </c>
      <c r="U39" s="114">
        <f>VLOOKUP(I39,'Maturity Rating'!A$14:B$17,2,FALSE)</f>
        <v>1</v>
      </c>
      <c r="V39" s="114">
        <f>VLOOKUP(J39,'Maturity Rating'!A$20:B$23,2,FALSE)</f>
        <v>1</v>
      </c>
      <c r="W39" t="str">
        <f t="shared" si="12"/>
        <v>1111</v>
      </c>
    </row>
    <row r="40" spans="1:24" ht="29">
      <c r="A40" s="74">
        <v>11.37</v>
      </c>
      <c r="B40" s="378"/>
      <c r="C40" s="365"/>
      <c r="D40" s="257"/>
      <c r="E40" s="247" t="s">
        <v>227</v>
      </c>
      <c r="F40" s="49" t="s">
        <v>89</v>
      </c>
      <c r="G40" s="257" t="s">
        <v>127</v>
      </c>
      <c r="H40" s="257" t="s">
        <v>95</v>
      </c>
      <c r="I40" s="257" t="s">
        <v>206</v>
      </c>
      <c r="J40" s="257" t="s">
        <v>102</v>
      </c>
      <c r="K40" s="273">
        <f t="shared" si="11"/>
        <v>1</v>
      </c>
      <c r="L40" s="169">
        <f>IF(AND(D40="K",K40=1),'Maturity Rating'!$E$8,IF(K40="NA",K40,IF(D40="K",K40*'Maturity Rating'!$E$7,K40)))</f>
        <v>1</v>
      </c>
      <c r="M40" s="374"/>
      <c r="N40" s="374"/>
      <c r="O40" s="342"/>
      <c r="S40" s="114">
        <f>VLOOKUP(G40,'Maturity Rating'!A$2:B$5,2,FALSE)</f>
        <v>1</v>
      </c>
      <c r="T40" s="114">
        <f>VLOOKUP(H40,'Maturity Rating'!A$8:B$11,2,FALSE)</f>
        <v>1</v>
      </c>
      <c r="U40" s="114">
        <f>VLOOKUP(I40,'Maturity Rating'!A$14:B$17,2,FALSE)</f>
        <v>1</v>
      </c>
      <c r="V40" s="114">
        <f>VLOOKUP(J40,'Maturity Rating'!A$20:B$23,2,FALSE)</f>
        <v>1</v>
      </c>
      <c r="W40" t="str">
        <f t="shared" si="12"/>
        <v>1111</v>
      </c>
    </row>
    <row r="41" spans="1:24" ht="29.5" thickBot="1">
      <c r="A41" s="100">
        <v>11.38</v>
      </c>
      <c r="B41" s="383"/>
      <c r="C41" s="366"/>
      <c r="D41" s="258"/>
      <c r="E41" s="249" t="s">
        <v>228</v>
      </c>
      <c r="F41" s="119" t="s">
        <v>89</v>
      </c>
      <c r="G41" s="257" t="s">
        <v>127</v>
      </c>
      <c r="H41" s="257" t="s">
        <v>95</v>
      </c>
      <c r="I41" s="257" t="s">
        <v>206</v>
      </c>
      <c r="J41" s="257" t="s">
        <v>102</v>
      </c>
      <c r="K41" s="274">
        <f t="shared" si="11"/>
        <v>1</v>
      </c>
      <c r="L41" s="179">
        <f>IF(AND(D41="K",K41=1),'Maturity Rating'!$E$8,IF(K41="NA",K41,IF(D41="K",K41*'Maturity Rating'!$E$7,K41)))</f>
        <v>1</v>
      </c>
      <c r="M41" s="375"/>
      <c r="N41" s="375"/>
      <c r="O41" s="352"/>
      <c r="S41" s="114">
        <f>VLOOKUP(G41,'Maturity Rating'!A$2:B$5,2,FALSE)</f>
        <v>1</v>
      </c>
      <c r="T41" s="114">
        <f>VLOOKUP(H41,'Maturity Rating'!A$8:B$11,2,FALSE)</f>
        <v>1</v>
      </c>
      <c r="U41" s="114">
        <f>VLOOKUP(I41,'Maturity Rating'!A$14:B$17,2,FALSE)</f>
        <v>1</v>
      </c>
      <c r="V41" s="114">
        <f>VLOOKUP(J41,'Maturity Rating'!A$20:B$23,2,FALSE)</f>
        <v>1</v>
      </c>
      <c r="W41" t="str">
        <f t="shared" si="12"/>
        <v>1111</v>
      </c>
    </row>
    <row r="42" spans="1:24" ht="29">
      <c r="A42" s="36">
        <v>11.39</v>
      </c>
      <c r="B42" s="377" t="s">
        <v>229</v>
      </c>
      <c r="C42" s="368" t="s">
        <v>230</v>
      </c>
      <c r="D42" s="256"/>
      <c r="E42" s="250" t="s">
        <v>231</v>
      </c>
      <c r="F42" s="71" t="s">
        <v>89</v>
      </c>
      <c r="G42" s="256" t="s">
        <v>90</v>
      </c>
      <c r="H42" s="256" t="s">
        <v>125</v>
      </c>
      <c r="I42" s="256" t="s">
        <v>206</v>
      </c>
      <c r="J42" s="256" t="s">
        <v>102</v>
      </c>
      <c r="K42" s="278">
        <f t="shared" si="11"/>
        <v>1.5</v>
      </c>
      <c r="L42" s="168">
        <f>IF(AND(D42="K",K42=1),'Maturity Rating'!$E$8,IF(K42="NA",K42,IF(D42="K",K42*'Maturity Rating'!$E$7,K42)))</f>
        <v>1.5</v>
      </c>
      <c r="M42" s="381">
        <f>IF(X42="NANANANANA",K42,AVERAGE(L42:L47))</f>
        <v>1.7416666666666665</v>
      </c>
      <c r="N42" s="381">
        <f>IF(M42&lt;1.1,1,IF(M42="NA",M42,(MIN(5,M42/3*5))))</f>
        <v>2.9027777777777777</v>
      </c>
      <c r="O42" s="341" t="str">
        <f>IF(N42="NA",N42,VLOOKUP(Q42,'Maturity Rating'!G4:H8,2,FALSE))</f>
        <v>Partial</v>
      </c>
      <c r="Q42" s="229">
        <f>IF(N42="NA",N42,ROUNDDOWN(N42,0))</f>
        <v>2</v>
      </c>
      <c r="S42" s="114">
        <f>VLOOKUP(G42,'Maturity Rating'!A$2:B$5,2,FALSE)</f>
        <v>2</v>
      </c>
      <c r="T42" s="114">
        <f>VLOOKUP(H42,'Maturity Rating'!A$8:B$11,2,FALSE)</f>
        <v>2</v>
      </c>
      <c r="U42" s="114">
        <f>VLOOKUP(I42,'Maturity Rating'!A$14:B$17,2,FALSE)</f>
        <v>1</v>
      </c>
      <c r="V42" s="114">
        <f>VLOOKUP(J42,'Maturity Rating'!A$20:B$23,2,FALSE)</f>
        <v>1</v>
      </c>
      <c r="W42" t="str">
        <f t="shared" si="12"/>
        <v>2211</v>
      </c>
      <c r="X42" t="str">
        <f>CONCATENATE(L42,L43,L44,L45,L46,L47)</f>
        <v>1.522.72.2511</v>
      </c>
    </row>
    <row r="43" spans="1:24" ht="29">
      <c r="A43" s="74" t="s">
        <v>520</v>
      </c>
      <c r="B43" s="378"/>
      <c r="C43" s="365"/>
      <c r="D43" s="257"/>
      <c r="E43" s="247" t="s">
        <v>93</v>
      </c>
      <c r="F43" s="49" t="s">
        <v>89</v>
      </c>
      <c r="G43" s="257" t="s">
        <v>90</v>
      </c>
      <c r="H43" s="257" t="s">
        <v>91</v>
      </c>
      <c r="I43" s="257" t="s">
        <v>91</v>
      </c>
      <c r="J43" s="257" t="s">
        <v>91</v>
      </c>
      <c r="K43" s="273">
        <f t="shared" si="11"/>
        <v>2</v>
      </c>
      <c r="L43" s="169">
        <f>IF(AND(D43="K",K43=1),'Maturity Rating'!$E$8,IF(K43="NA",K43,IF(D43="K",K43*'Maturity Rating'!$E$7,K43)))</f>
        <v>2</v>
      </c>
      <c r="M43" s="374"/>
      <c r="N43" s="374"/>
      <c r="O43" s="342"/>
      <c r="S43" s="114">
        <f>VLOOKUP(G43,'Maturity Rating'!A$2:B$5,2,FALSE)</f>
        <v>2</v>
      </c>
      <c r="T43" s="114" t="str">
        <f>VLOOKUP(H43,'Maturity Rating'!A$8:B$11,2,FALSE)</f>
        <v>NA</v>
      </c>
      <c r="U43" s="114" t="str">
        <f>VLOOKUP(I43,'Maturity Rating'!A$14:B$17,2,FALSE)</f>
        <v>NA</v>
      </c>
      <c r="V43" s="114" t="str">
        <f>VLOOKUP(J43,'Maturity Rating'!A$20:B$23,2,FALSE)</f>
        <v>NA</v>
      </c>
      <c r="W43" t="str">
        <f t="shared" si="12"/>
        <v>2NANANA</v>
      </c>
    </row>
    <row r="44" spans="1:24" ht="29">
      <c r="A44" s="74">
        <v>11.41</v>
      </c>
      <c r="B44" s="378"/>
      <c r="C44" s="365"/>
      <c r="D44" s="257" t="s">
        <v>87</v>
      </c>
      <c r="E44" s="248" t="s">
        <v>232</v>
      </c>
      <c r="F44" s="49" t="s">
        <v>89</v>
      </c>
      <c r="G44" s="257" t="s">
        <v>90</v>
      </c>
      <c r="H44" s="257" t="s">
        <v>100</v>
      </c>
      <c r="I44" s="257" t="s">
        <v>206</v>
      </c>
      <c r="J44" s="257" t="s">
        <v>129</v>
      </c>
      <c r="K44" s="273">
        <f t="shared" si="11"/>
        <v>2.25</v>
      </c>
      <c r="L44" s="169">
        <f>IF(AND(D44="K",K44=1),'Maturity Rating'!$E$8,IF(K44="NA",K44,IF(D44="K",K44*'Maturity Rating'!$E$7,K44)))</f>
        <v>2.6999999999999997</v>
      </c>
      <c r="M44" s="374"/>
      <c r="N44" s="374"/>
      <c r="O44" s="342"/>
      <c r="S44" s="114">
        <f>VLOOKUP(G44,'Maturity Rating'!A$2:B$5,2,FALSE)</f>
        <v>2</v>
      </c>
      <c r="T44" s="114">
        <f>VLOOKUP(H44,'Maturity Rating'!A$8:B$11,2,FALSE)</f>
        <v>3</v>
      </c>
      <c r="U44" s="114">
        <f>VLOOKUP(I44,'Maturity Rating'!A$14:B$17,2,FALSE)</f>
        <v>1</v>
      </c>
      <c r="V44" s="114">
        <f>VLOOKUP(J44,'Maturity Rating'!A$20:B$23,2,FALSE)</f>
        <v>3</v>
      </c>
      <c r="W44" t="str">
        <f t="shared" si="12"/>
        <v>2313</v>
      </c>
    </row>
    <row r="45" spans="1:24" ht="29">
      <c r="A45" s="74">
        <v>11.42</v>
      </c>
      <c r="B45" s="378"/>
      <c r="C45" s="365"/>
      <c r="D45" s="257"/>
      <c r="E45" s="247" t="s">
        <v>234</v>
      </c>
      <c r="F45" s="49" t="s">
        <v>89</v>
      </c>
      <c r="G45" s="257" t="s">
        <v>90</v>
      </c>
      <c r="H45" s="257" t="s">
        <v>100</v>
      </c>
      <c r="I45" s="257" t="s">
        <v>206</v>
      </c>
      <c r="J45" s="257" t="s">
        <v>129</v>
      </c>
      <c r="K45" s="273">
        <f t="shared" si="11"/>
        <v>2.25</v>
      </c>
      <c r="L45" s="169">
        <f>IF(AND(D45="K",K45=1),'Maturity Rating'!$E$8,IF(K45="NA",K45,IF(D45="K",K45*'Maturity Rating'!$E$7,K45)))</f>
        <v>2.25</v>
      </c>
      <c r="M45" s="374"/>
      <c r="N45" s="374"/>
      <c r="O45" s="342"/>
      <c r="S45" s="114">
        <f>VLOOKUP(G45,'Maturity Rating'!A$2:B$5,2,FALSE)</f>
        <v>2</v>
      </c>
      <c r="T45" s="114">
        <f>VLOOKUP(H45,'Maturity Rating'!A$8:B$11,2,FALSE)</f>
        <v>3</v>
      </c>
      <c r="U45" s="114">
        <f>VLOOKUP(I45,'Maturity Rating'!A$14:B$17,2,FALSE)</f>
        <v>1</v>
      </c>
      <c r="V45" s="114">
        <f>VLOOKUP(J45,'Maturity Rating'!A$20:B$23,2,FALSE)</f>
        <v>3</v>
      </c>
      <c r="W45" t="str">
        <f t="shared" si="12"/>
        <v>2313</v>
      </c>
    </row>
    <row r="46" spans="1:24" ht="29">
      <c r="A46" s="74">
        <v>11.43</v>
      </c>
      <c r="B46" s="378"/>
      <c r="C46" s="365"/>
      <c r="D46" s="257"/>
      <c r="E46" s="247" t="s">
        <v>235</v>
      </c>
      <c r="F46" s="49" t="s">
        <v>89</v>
      </c>
      <c r="G46" s="257" t="s">
        <v>127</v>
      </c>
      <c r="H46" s="257" t="s">
        <v>95</v>
      </c>
      <c r="I46" s="257" t="s">
        <v>206</v>
      </c>
      <c r="J46" s="257" t="s">
        <v>102</v>
      </c>
      <c r="K46" s="273">
        <f t="shared" si="11"/>
        <v>1</v>
      </c>
      <c r="L46" s="169">
        <f>IF(AND(D46="K",K46=1),'Maturity Rating'!$E$8,IF(K46="NA",K46,IF(D46="K",K46*'Maturity Rating'!$E$7,K46)))</f>
        <v>1</v>
      </c>
      <c r="M46" s="374"/>
      <c r="N46" s="374"/>
      <c r="O46" s="342"/>
      <c r="S46" s="114">
        <f>VLOOKUP(G46,'Maturity Rating'!A$2:B$5,2,FALSE)</f>
        <v>1</v>
      </c>
      <c r="T46" s="114">
        <f>VLOOKUP(H46,'Maturity Rating'!A$8:B$11,2,FALSE)</f>
        <v>1</v>
      </c>
      <c r="U46" s="114">
        <f>VLOOKUP(I46,'Maturity Rating'!A$14:B$17,2,FALSE)</f>
        <v>1</v>
      </c>
      <c r="V46" s="114">
        <f>VLOOKUP(J46,'Maturity Rating'!A$20:B$23,2,FALSE)</f>
        <v>1</v>
      </c>
      <c r="W46" t="str">
        <f t="shared" si="12"/>
        <v>1111</v>
      </c>
    </row>
    <row r="47" spans="1:24" ht="29.5" thickBot="1">
      <c r="A47" s="75">
        <v>11.44</v>
      </c>
      <c r="B47" s="379"/>
      <c r="C47" s="367"/>
      <c r="D47" s="259"/>
      <c r="E47" s="251" t="s">
        <v>521</v>
      </c>
      <c r="F47" s="50" t="s">
        <v>89</v>
      </c>
      <c r="G47" s="259" t="s">
        <v>127</v>
      </c>
      <c r="H47" s="259" t="s">
        <v>95</v>
      </c>
      <c r="I47" s="259" t="s">
        <v>206</v>
      </c>
      <c r="J47" s="259" t="s">
        <v>102</v>
      </c>
      <c r="K47" s="272">
        <f t="shared" si="11"/>
        <v>1</v>
      </c>
      <c r="L47" s="170">
        <f>IF(AND(D47="K",K47=1),'Maturity Rating'!$E$8,IF(K47="NA",K47,IF(D47="K",K47*'Maturity Rating'!$E$7,K47)))</f>
        <v>1</v>
      </c>
      <c r="M47" s="372"/>
      <c r="N47" s="372"/>
      <c r="O47" s="343"/>
      <c r="S47" s="114">
        <f>VLOOKUP(G47,'Maturity Rating'!A$2:B$5,2,FALSE)</f>
        <v>1</v>
      </c>
      <c r="T47" s="114">
        <f>VLOOKUP(H47,'Maturity Rating'!A$8:B$11,2,FALSE)</f>
        <v>1</v>
      </c>
      <c r="U47" s="114">
        <f>VLOOKUP(I47,'Maturity Rating'!A$14:B$17,2,FALSE)</f>
        <v>1</v>
      </c>
      <c r="V47" s="114">
        <f>VLOOKUP(J47,'Maturity Rating'!A$20:B$23,2,FALSE)</f>
        <v>1</v>
      </c>
      <c r="W47" t="str">
        <f t="shared" si="12"/>
        <v>1111</v>
      </c>
    </row>
  </sheetData>
  <mergeCells count="36">
    <mergeCell ref="B21:B24"/>
    <mergeCell ref="C21:C24"/>
    <mergeCell ref="M21:M24"/>
    <mergeCell ref="N21:N24"/>
    <mergeCell ref="O21:O24"/>
    <mergeCell ref="O4:O6"/>
    <mergeCell ref="B7:B19"/>
    <mergeCell ref="C7:C19"/>
    <mergeCell ref="M7:M19"/>
    <mergeCell ref="N7:N19"/>
    <mergeCell ref="O7:O19"/>
    <mergeCell ref="C1:D1"/>
    <mergeCell ref="B4:B6"/>
    <mergeCell ref="C4:C6"/>
    <mergeCell ref="M4:M6"/>
    <mergeCell ref="N4:N6"/>
    <mergeCell ref="C25:C30"/>
    <mergeCell ref="M25:M30"/>
    <mergeCell ref="N25:N30"/>
    <mergeCell ref="O25:O30"/>
    <mergeCell ref="B36:B41"/>
    <mergeCell ref="C36:C41"/>
    <mergeCell ref="M36:M41"/>
    <mergeCell ref="N36:N41"/>
    <mergeCell ref="O36:O41"/>
    <mergeCell ref="B31:B35"/>
    <mergeCell ref="O31:O35"/>
    <mergeCell ref="N31:N35"/>
    <mergeCell ref="M31:M35"/>
    <mergeCell ref="B25:B30"/>
    <mergeCell ref="C31:C35"/>
    <mergeCell ref="B42:B47"/>
    <mergeCell ref="C42:C47"/>
    <mergeCell ref="M42:M47"/>
    <mergeCell ref="N42:N47"/>
    <mergeCell ref="O42:O47"/>
  </mergeCells>
  <pageMargins left="0.7" right="0.7" top="0.75" bottom="0.75" header="0.3" footer="0.3"/>
  <pageSetup paperSize="9" orientation="portrait" r:id="rId1"/>
  <ignoredErrors>
    <ignoredError sqref="E1:F1 K5:O47 K4:L4 N4:O4" evalError="1"/>
  </ignoredErrors>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E00-000000000000}">
          <x14:formula1>
            <xm:f>'Maturity Rating'!$A$2:$A$5</xm:f>
          </x14:formula1>
          <xm:sqref>G4:G47</xm:sqref>
        </x14:dataValidation>
        <x14:dataValidation type="list" allowBlank="1" showInputMessage="1" showErrorMessage="1" xr:uid="{00000000-0002-0000-0E00-000001000000}">
          <x14:formula1>
            <xm:f>'Maturity Rating'!$A$14:$A$17</xm:f>
          </x14:formula1>
          <xm:sqref>I4:I47</xm:sqref>
        </x14:dataValidation>
        <x14:dataValidation type="list" allowBlank="1" showInputMessage="1" showErrorMessage="1" xr:uid="{00000000-0002-0000-0E00-000002000000}">
          <x14:formula1>
            <xm:f>'Maturity Rating'!$A$20:$A$23</xm:f>
          </x14:formula1>
          <xm:sqref>J4:J47</xm:sqref>
        </x14:dataValidation>
        <x14:dataValidation type="list" allowBlank="1" showInputMessage="1" showErrorMessage="1" xr:uid="{00000000-0002-0000-0E00-000003000000}">
          <x14:formula1>
            <xm:f>'Maturity Rating'!$A$8:$A$11</xm:f>
          </x14:formula1>
          <xm:sqref>H4:H47</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2"/>
  </sheetPr>
  <dimension ref="A1:Z18"/>
  <sheetViews>
    <sheetView showGridLines="0" topLeftCell="C1" zoomScale="62" zoomScaleNormal="70" workbookViewId="0">
      <selection activeCell="E8" sqref="E8"/>
    </sheetView>
  </sheetViews>
  <sheetFormatPr defaultColWidth="9.08984375" defaultRowHeight="14.5"/>
  <cols>
    <col min="1" max="1" width="8.81640625" style="22" bestFit="1" customWidth="1"/>
    <col min="2" max="2" width="23.08984375" style="24" customWidth="1"/>
    <col min="3" max="3" width="34.90625" style="25" customWidth="1"/>
    <col min="4" max="4" width="25" style="25" customWidth="1"/>
    <col min="5" max="5" width="79.1796875" style="24" customWidth="1"/>
    <col min="6" max="6" width="31.36328125" style="62" customWidth="1"/>
    <col min="7" max="8" width="20.6328125" style="62" customWidth="1"/>
    <col min="9" max="9" width="20.90625" style="62" bestFit="1" customWidth="1"/>
    <col min="10" max="10" width="20.6328125" style="62" customWidth="1"/>
    <col min="11" max="11" width="13.6328125" style="24" bestFit="1" customWidth="1"/>
    <col min="12" max="12" width="26.36328125" style="24" customWidth="1"/>
    <col min="13" max="13" width="18.81640625" style="24" customWidth="1"/>
    <col min="14" max="14" width="20.90625" style="24" customWidth="1"/>
    <col min="15" max="15" width="13.6328125" style="24" customWidth="1"/>
    <col min="16" max="16" width="3.36328125" customWidth="1"/>
    <col min="17" max="17" width="12.36328125" hidden="1" customWidth="1"/>
    <col min="18" max="18" width="4.90625" hidden="1" customWidth="1"/>
    <col min="19" max="19" width="4.54296875" style="189" hidden="1" customWidth="1"/>
    <col min="20" max="20" width="5.08984375" style="189" hidden="1" customWidth="1"/>
    <col min="21" max="21" width="5.1796875" style="189" hidden="1" customWidth="1"/>
    <col min="22" max="22" width="7.81640625" style="189" hidden="1" customWidth="1"/>
    <col min="23" max="23" width="12" hidden="1" customWidth="1"/>
    <col min="24" max="24" width="51.81640625" hidden="1" customWidth="1"/>
    <col min="25" max="25" width="0" hidden="1" customWidth="1"/>
    <col min="27" max="16384" width="9.08984375" style="24"/>
  </cols>
  <sheetData>
    <row r="1" spans="1:26" ht="22.5" customHeight="1" thickBot="1">
      <c r="C1" s="353" t="s">
        <v>66</v>
      </c>
      <c r="D1" s="354"/>
      <c r="E1" s="45" t="str">
        <f>IF(F1="NA","Not Applicable",VLOOKUP(T1,'Maturity Rating'!G4:H8,2,FALSE))</f>
        <v>Repeatable</v>
      </c>
      <c r="F1" s="46">
        <f>IF(J1="NANANANA","NA",AVERAGE(N4:N17))</f>
        <v>4.5555555555555562</v>
      </c>
      <c r="G1" s="22"/>
      <c r="I1" s="86"/>
      <c r="J1" s="83"/>
      <c r="K1" s="84"/>
      <c r="Q1" s="224"/>
      <c r="S1"/>
      <c r="T1" s="230">
        <f>ROUNDDOWN(F1,0)</f>
        <v>4</v>
      </c>
      <c r="U1" s="98" t="str">
        <f>CONCATENATE(N4,N7,N13,N15)</f>
        <v>4.222222222222224.3333333333333354.66666666666667</v>
      </c>
      <c r="V1"/>
    </row>
    <row r="2" spans="1:26" ht="15" thickBot="1"/>
    <row r="3" spans="1:26" s="22" customFormat="1" ht="30.75" customHeight="1" thickBot="1">
      <c r="A3" s="88" t="s">
        <v>2</v>
      </c>
      <c r="B3" s="81" t="s">
        <v>67</v>
      </c>
      <c r="C3" s="81" t="s">
        <v>68</v>
      </c>
      <c r="D3" s="81" t="s">
        <v>69</v>
      </c>
      <c r="E3" s="81" t="s">
        <v>70</v>
      </c>
      <c r="F3" s="81" t="s">
        <v>71</v>
      </c>
      <c r="G3" s="81" t="s">
        <v>72</v>
      </c>
      <c r="H3" s="81" t="s">
        <v>73</v>
      </c>
      <c r="I3" s="81" t="s">
        <v>74</v>
      </c>
      <c r="J3" s="81" t="s">
        <v>75</v>
      </c>
      <c r="K3" s="81" t="s">
        <v>76</v>
      </c>
      <c r="L3" s="81" t="s">
        <v>77</v>
      </c>
      <c r="M3" s="81" t="s">
        <v>78</v>
      </c>
      <c r="N3" s="81" t="s">
        <v>79</v>
      </c>
      <c r="O3" s="89" t="s">
        <v>80</v>
      </c>
      <c r="P3"/>
      <c r="Q3"/>
      <c r="R3"/>
      <c r="S3" s="227" t="s">
        <v>81</v>
      </c>
      <c r="T3" s="227" t="s">
        <v>82</v>
      </c>
      <c r="U3" s="227" t="s">
        <v>83</v>
      </c>
      <c r="V3" s="227" t="s">
        <v>84</v>
      </c>
      <c r="W3" s="228"/>
      <c r="X3" s="228"/>
      <c r="Y3" s="228"/>
      <c r="Z3" s="228"/>
    </row>
    <row r="4" spans="1:26" ht="30.75" customHeight="1">
      <c r="A4" s="93">
        <v>12.1</v>
      </c>
      <c r="B4" s="344" t="s">
        <v>85</v>
      </c>
      <c r="C4" s="368" t="s">
        <v>522</v>
      </c>
      <c r="D4" s="263" t="s">
        <v>87</v>
      </c>
      <c r="E4" s="51" t="s">
        <v>523</v>
      </c>
      <c r="F4" s="256" t="s">
        <v>89</v>
      </c>
      <c r="G4" s="263" t="s">
        <v>118</v>
      </c>
      <c r="H4" s="263" t="s">
        <v>100</v>
      </c>
      <c r="I4" s="263" t="s">
        <v>120</v>
      </c>
      <c r="J4" s="257" t="s">
        <v>129</v>
      </c>
      <c r="K4" s="271">
        <f>IF(W4="NANANANA",S4,IF(AND(OR(G4="Formally Documented",G4="Informally Documented"),H4="Not Implemented"),0.5*AVERAGE(S4:V4),AVERAGE(S4:V4)))</f>
        <v>3</v>
      </c>
      <c r="L4" s="271">
        <f>IF(AND(D4="K",K4=1),'Maturity Rating'!$E$8,IF(K4="NA",K4,IF(D4="K",K4*'Maturity Rating'!$E$7,K4)))</f>
        <v>3.5999999999999996</v>
      </c>
      <c r="M4" s="338">
        <f>IF(X4="NANANANA",K4,AVERAGE(L4:L6))</f>
        <v>2.5333333333333332</v>
      </c>
      <c r="N4" s="339">
        <f>IF(M4&lt;1.1,1,IF(M4="NA",M4,(MIN(5,M4/3*5))))</f>
        <v>4.2222222222222223</v>
      </c>
      <c r="O4" s="351" t="str">
        <f>IF(N4="NA",N4,VLOOKUP(Q4,'Maturity Rating'!G4:H8,2,FALSE))</f>
        <v>Repeatable</v>
      </c>
      <c r="P4" s="27"/>
      <c r="Q4" s="229">
        <f>IF(N4="NA",N4,ROUNDDOWN(N4,0))</f>
        <v>4</v>
      </c>
      <c r="S4" s="114">
        <f>VLOOKUP(G4,'Maturity Rating'!A$2:B$5,2,FALSE)</f>
        <v>3</v>
      </c>
      <c r="T4" s="114">
        <f>VLOOKUP(H4,'Maturity Rating'!A$8:B$11,2,FALSE)</f>
        <v>3</v>
      </c>
      <c r="U4" s="114">
        <f>VLOOKUP(I4,'Maturity Rating'!A$14:B$17,2,FALSE)</f>
        <v>3</v>
      </c>
      <c r="V4" s="114">
        <f>VLOOKUP(J4,'Maturity Rating'!A$20:B$23,2,FALSE)</f>
        <v>3</v>
      </c>
      <c r="W4" t="str">
        <f>CONCATENATE(S4,T4,U4,V4)</f>
        <v>3333</v>
      </c>
      <c r="X4" t="str">
        <f>CONCATENATE(L4,L5,L6)</f>
        <v>3.631</v>
      </c>
    </row>
    <row r="5" spans="1:26" ht="29">
      <c r="A5" s="74">
        <v>12.2</v>
      </c>
      <c r="B5" s="345"/>
      <c r="C5" s="365"/>
      <c r="D5" s="257"/>
      <c r="E5" s="266" t="s">
        <v>524</v>
      </c>
      <c r="F5" s="257" t="s">
        <v>89</v>
      </c>
      <c r="G5" s="263" t="s">
        <v>118</v>
      </c>
      <c r="H5" s="263" t="s">
        <v>100</v>
      </c>
      <c r="I5" s="263" t="s">
        <v>120</v>
      </c>
      <c r="J5" s="257" t="s">
        <v>129</v>
      </c>
      <c r="K5" s="271">
        <f t="shared" ref="K5:K17" si="0">IF(W5="NANANANA",S5,IF(AND(OR(G5="Formally Documented",G5="Informally Documented"),H5="Not Implemented"),0.5*AVERAGE(S5:V5),AVERAGE(S5:V5)))</f>
        <v>3</v>
      </c>
      <c r="L5" s="271">
        <f>IF(AND(D5="K",K5=1),'Maturity Rating'!$E$8,IF(K5="NA",K5,IF(D5="K",K5*'Maturity Rating'!$E$7,K5)))</f>
        <v>3</v>
      </c>
      <c r="M5" s="339"/>
      <c r="N5" s="339"/>
      <c r="O5" s="342"/>
      <c r="P5" s="27"/>
      <c r="Q5" s="229"/>
      <c r="S5" s="114">
        <f>VLOOKUP(G5,'Maturity Rating'!A$2:B$5,2,FALSE)</f>
        <v>3</v>
      </c>
      <c r="T5" s="114">
        <f>VLOOKUP(H5,'Maturity Rating'!A$8:B$11,2,FALSE)</f>
        <v>3</v>
      </c>
      <c r="U5" s="114">
        <f>VLOOKUP(I5,'Maturity Rating'!A$14:B$17,2,FALSE)</f>
        <v>3</v>
      </c>
      <c r="V5" s="114">
        <f>VLOOKUP(J5,'Maturity Rating'!A$20:B$23,2,FALSE)</f>
        <v>3</v>
      </c>
      <c r="W5" t="str">
        <f t="shared" ref="W5:W17" si="1">CONCATENATE(S5,T5,U5,V5)</f>
        <v>3333</v>
      </c>
    </row>
    <row r="6" spans="1:26" ht="29.5" thickBot="1">
      <c r="A6" s="74">
        <v>12.3</v>
      </c>
      <c r="B6" s="345"/>
      <c r="C6" s="367"/>
      <c r="D6" s="257"/>
      <c r="E6" s="268" t="s">
        <v>94</v>
      </c>
      <c r="F6" s="259" t="s">
        <v>89</v>
      </c>
      <c r="G6" s="259" t="s">
        <v>127</v>
      </c>
      <c r="H6" s="259" t="s">
        <v>95</v>
      </c>
      <c r="I6" s="259" t="s">
        <v>206</v>
      </c>
      <c r="J6" s="259" t="s">
        <v>102</v>
      </c>
      <c r="K6" s="272">
        <f t="shared" si="0"/>
        <v>1</v>
      </c>
      <c r="L6" s="272">
        <f>IF(AND(D6="K",K6=1),'Maturity Rating'!$E$8,IF(K6="NA",K6,IF(D6="K",K6*'Maturity Rating'!$E$7,K6)))</f>
        <v>1</v>
      </c>
      <c r="M6" s="339"/>
      <c r="N6" s="339"/>
      <c r="O6" s="342"/>
      <c r="P6" s="27"/>
      <c r="Q6" s="229"/>
      <c r="S6" s="114">
        <f>VLOOKUP(G6,'Maturity Rating'!A$2:B$5,2,FALSE)</f>
        <v>1</v>
      </c>
      <c r="T6" s="114">
        <f>VLOOKUP(H6,'Maturity Rating'!A$8:B$11,2,FALSE)</f>
        <v>1</v>
      </c>
      <c r="U6" s="114">
        <f>VLOOKUP(I6,'Maturity Rating'!A$14:B$17,2,FALSE)</f>
        <v>1</v>
      </c>
      <c r="V6" s="114">
        <f>VLOOKUP(J6,'Maturity Rating'!A$20:B$23,2,FALSE)</f>
        <v>1</v>
      </c>
      <c r="W6" t="str">
        <f t="shared" si="1"/>
        <v>1111</v>
      </c>
    </row>
    <row r="7" spans="1:26" ht="30" customHeight="1">
      <c r="A7" s="36">
        <v>12.4</v>
      </c>
      <c r="B7" s="355" t="s">
        <v>525</v>
      </c>
      <c r="C7" s="368" t="s">
        <v>526</v>
      </c>
      <c r="D7" s="256" t="s">
        <v>87</v>
      </c>
      <c r="E7" s="51" t="s">
        <v>527</v>
      </c>
      <c r="F7" s="256" t="s">
        <v>89</v>
      </c>
      <c r="G7" s="263" t="s">
        <v>118</v>
      </c>
      <c r="H7" s="263" t="s">
        <v>100</v>
      </c>
      <c r="I7" s="263" t="s">
        <v>120</v>
      </c>
      <c r="J7" s="87" t="s">
        <v>129</v>
      </c>
      <c r="K7" s="271">
        <f t="shared" si="0"/>
        <v>3</v>
      </c>
      <c r="L7" s="271">
        <f>IF(AND(D7="K",K7=1),'Maturity Rating'!$E$8,IF(K7="NA",K7,IF(D7="K",K7*'Maturity Rating'!$E$7,K7)))</f>
        <v>3.5999999999999996</v>
      </c>
      <c r="M7" s="338">
        <f>IF(X7="NANANANANANANANA",K7,AVERAGE(L7:L12))</f>
        <v>2.6</v>
      </c>
      <c r="N7" s="338">
        <f>IF(M7&lt;1.1,1,IF(M7="NA",M7,(MIN(5,M7/3*5))))</f>
        <v>4.3333333333333339</v>
      </c>
      <c r="O7" s="341" t="str">
        <f>IF(N7="NA",N7,VLOOKUP(Q7,'Maturity Rating'!G4:H8,2,FALSE))</f>
        <v>Repeatable</v>
      </c>
      <c r="P7" s="27"/>
      <c r="Q7" s="229">
        <f>IF(N7="NA",N7,ROUNDDOWN(N7,0))</f>
        <v>4</v>
      </c>
      <c r="S7" s="114">
        <f>VLOOKUP(G7,'Maturity Rating'!A$2:B$5,2,FALSE)</f>
        <v>3</v>
      </c>
      <c r="T7" s="114">
        <f>VLOOKUP(H7,'Maturity Rating'!A$8:B$11,2,FALSE)</f>
        <v>3</v>
      </c>
      <c r="U7" s="114">
        <f>VLOOKUP(I7,'Maturity Rating'!A$14:B$17,2,FALSE)</f>
        <v>3</v>
      </c>
      <c r="V7" s="114">
        <f>VLOOKUP(J7,'Maturity Rating'!A$20:B$23,2,FALSE)</f>
        <v>3</v>
      </c>
      <c r="W7" t="str">
        <f t="shared" si="1"/>
        <v>3333</v>
      </c>
      <c r="X7" t="str">
        <f>CONCATENATE(L7,L8,L9,L10,L11,L12)</f>
        <v>3.612333</v>
      </c>
    </row>
    <row r="8" spans="1:26" ht="34.5" customHeight="1">
      <c r="A8" s="74">
        <v>12.5</v>
      </c>
      <c r="B8" s="356"/>
      <c r="C8" s="365"/>
      <c r="D8" s="257"/>
      <c r="E8" s="1" t="s">
        <v>528</v>
      </c>
      <c r="F8" s="257" t="s">
        <v>89</v>
      </c>
      <c r="G8" s="263" t="s">
        <v>127</v>
      </c>
      <c r="H8" s="263" t="s">
        <v>95</v>
      </c>
      <c r="I8" s="263" t="s">
        <v>206</v>
      </c>
      <c r="J8" s="87" t="s">
        <v>102</v>
      </c>
      <c r="K8" s="271">
        <f t="shared" si="0"/>
        <v>1</v>
      </c>
      <c r="L8" s="271">
        <f>IF(AND(D8="K",K8=1),'Maturity Rating'!$E$8,IF(K8="NA",K8,IF(D8="K",K8*'Maturity Rating'!$E$7,K8)))</f>
        <v>1</v>
      </c>
      <c r="M8" s="339"/>
      <c r="N8" s="339"/>
      <c r="O8" s="342"/>
      <c r="P8" s="27"/>
      <c r="Q8" s="27"/>
      <c r="S8" s="114">
        <f>VLOOKUP(G8,'Maturity Rating'!A$2:B$5,2,FALSE)</f>
        <v>1</v>
      </c>
      <c r="T8" s="114">
        <f>VLOOKUP(H8,'Maturity Rating'!A$8:B$11,2,FALSE)</f>
        <v>1</v>
      </c>
      <c r="U8" s="114">
        <f>VLOOKUP(I8,'Maturity Rating'!A$14:B$17,2,FALSE)</f>
        <v>1</v>
      </c>
      <c r="V8" s="114">
        <f>VLOOKUP(J8,'Maturity Rating'!A$20:B$23,2,FALSE)</f>
        <v>1</v>
      </c>
      <c r="W8" t="str">
        <f t="shared" si="1"/>
        <v>1111</v>
      </c>
    </row>
    <row r="9" spans="1:26" ht="29">
      <c r="A9" s="74">
        <v>12.6</v>
      </c>
      <c r="B9" s="356"/>
      <c r="C9" s="365"/>
      <c r="D9" s="257"/>
      <c r="E9" s="1" t="s">
        <v>529</v>
      </c>
      <c r="F9" s="257" t="s">
        <v>89</v>
      </c>
      <c r="G9" s="263" t="s">
        <v>90</v>
      </c>
      <c r="H9" s="263" t="s">
        <v>125</v>
      </c>
      <c r="I9" s="263" t="s">
        <v>101</v>
      </c>
      <c r="J9" s="87" t="s">
        <v>464</v>
      </c>
      <c r="K9" s="271">
        <f t="shared" si="0"/>
        <v>2</v>
      </c>
      <c r="L9" s="271">
        <f>IF(AND(D9="K",K9=1),'Maturity Rating'!$E$8,IF(K9="NA",K9,IF(D9="K",K9*'Maturity Rating'!$E$7,K9)))</f>
        <v>2</v>
      </c>
      <c r="M9" s="339"/>
      <c r="N9" s="339"/>
      <c r="O9" s="342"/>
      <c r="P9" s="27"/>
      <c r="Q9" s="27"/>
      <c r="S9" s="114">
        <f>VLOOKUP(G9,'Maturity Rating'!A$2:B$5,2,FALSE)</f>
        <v>2</v>
      </c>
      <c r="T9" s="114">
        <f>VLOOKUP(H9,'Maturity Rating'!A$8:B$11,2,FALSE)</f>
        <v>2</v>
      </c>
      <c r="U9" s="114">
        <f>VLOOKUP(I9,'Maturity Rating'!A$14:B$17,2,FALSE)</f>
        <v>2</v>
      </c>
      <c r="V9" s="114">
        <f>VLOOKUP(J9,'Maturity Rating'!A$20:B$23,2,FALSE)</f>
        <v>2</v>
      </c>
      <c r="W9" t="str">
        <f t="shared" si="1"/>
        <v>2222</v>
      </c>
    </row>
    <row r="10" spans="1:26" ht="46.5" customHeight="1">
      <c r="A10" s="74">
        <v>12.7</v>
      </c>
      <c r="B10" s="356"/>
      <c r="C10" s="365"/>
      <c r="D10" s="257"/>
      <c r="E10" s="266" t="s">
        <v>530</v>
      </c>
      <c r="F10" s="257" t="s">
        <v>89</v>
      </c>
      <c r="G10" s="99" t="s">
        <v>118</v>
      </c>
      <c r="H10" s="263" t="s">
        <v>100</v>
      </c>
      <c r="I10" s="263" t="s">
        <v>120</v>
      </c>
      <c r="J10" s="87" t="s">
        <v>129</v>
      </c>
      <c r="K10" s="271">
        <f t="shared" si="0"/>
        <v>3</v>
      </c>
      <c r="L10" s="271">
        <f>IF(AND(D10="K",K10=1),'Maturity Rating'!$E$8,IF(K10="NA",K10,IF(D10="K",K10*'Maturity Rating'!$E$7,K10)))</f>
        <v>3</v>
      </c>
      <c r="M10" s="339"/>
      <c r="N10" s="339"/>
      <c r="O10" s="342"/>
      <c r="P10" s="27"/>
      <c r="Q10" s="27"/>
      <c r="S10" s="114">
        <f>VLOOKUP(G10,'Maturity Rating'!A$2:B$5,2,FALSE)</f>
        <v>3</v>
      </c>
      <c r="T10" s="114">
        <f>VLOOKUP(H10,'Maturity Rating'!A$8:B$11,2,FALSE)</f>
        <v>3</v>
      </c>
      <c r="U10" s="114">
        <f>VLOOKUP(I10,'Maturity Rating'!A$14:B$17,2,FALSE)</f>
        <v>3</v>
      </c>
      <c r="V10" s="114">
        <f>VLOOKUP(J10,'Maturity Rating'!A$20:B$23,2,FALSE)</f>
        <v>3</v>
      </c>
      <c r="W10" t="str">
        <f t="shared" si="1"/>
        <v>3333</v>
      </c>
    </row>
    <row r="11" spans="1:26" ht="29">
      <c r="A11" s="74">
        <v>12.8</v>
      </c>
      <c r="B11" s="356"/>
      <c r="C11" s="365"/>
      <c r="D11" s="257"/>
      <c r="E11" s="28" t="s">
        <v>531</v>
      </c>
      <c r="F11" s="180" t="s">
        <v>89</v>
      </c>
      <c r="G11" s="263" t="s">
        <v>118</v>
      </c>
      <c r="H11" s="263" t="s">
        <v>100</v>
      </c>
      <c r="I11" s="263" t="s">
        <v>120</v>
      </c>
      <c r="J11" s="87" t="s">
        <v>129</v>
      </c>
      <c r="K11" s="271">
        <f t="shared" si="0"/>
        <v>3</v>
      </c>
      <c r="L11" s="271">
        <f>IF(AND(D11="K",K11=1),'Maturity Rating'!$E$8,IF(K11="NA",K11,IF(D11="K",K11*'Maturity Rating'!$E$7,K11)))</f>
        <v>3</v>
      </c>
      <c r="M11" s="339"/>
      <c r="N11" s="339"/>
      <c r="O11" s="342"/>
      <c r="P11" s="27"/>
      <c r="Q11" s="27"/>
      <c r="S11" s="114">
        <f>VLOOKUP(G11,'Maturity Rating'!A$2:B$5,2,FALSE)</f>
        <v>3</v>
      </c>
      <c r="T11" s="114">
        <f>VLOOKUP(H11,'Maturity Rating'!A$8:B$11,2,FALSE)</f>
        <v>3</v>
      </c>
      <c r="U11" s="114">
        <f>VLOOKUP(I11,'Maturity Rating'!A$14:B$17,2,FALSE)</f>
        <v>3</v>
      </c>
      <c r="V11" s="114">
        <f>VLOOKUP(J11,'Maturity Rating'!A$20:B$23,2,FALSE)</f>
        <v>3</v>
      </c>
      <c r="W11" t="str">
        <f t="shared" si="1"/>
        <v>3333</v>
      </c>
    </row>
    <row r="12" spans="1:26" ht="29.5" thickBot="1">
      <c r="A12" s="74">
        <v>12.9</v>
      </c>
      <c r="B12" s="376"/>
      <c r="C12" s="367"/>
      <c r="D12" s="259"/>
      <c r="E12" s="268" t="s">
        <v>532</v>
      </c>
      <c r="F12" s="259" t="s">
        <v>89</v>
      </c>
      <c r="G12" s="259" t="s">
        <v>118</v>
      </c>
      <c r="H12" s="259" t="s">
        <v>100</v>
      </c>
      <c r="I12" s="259" t="s">
        <v>120</v>
      </c>
      <c r="J12" s="80" t="s">
        <v>129</v>
      </c>
      <c r="K12" s="272">
        <f t="shared" si="0"/>
        <v>3</v>
      </c>
      <c r="L12" s="272">
        <f>IF(AND(D12="K",K12=1),'Maturity Rating'!$E$8,IF(K12="NA",K12,IF(D12="K",K12*'Maturity Rating'!$E$7,K12)))</f>
        <v>3</v>
      </c>
      <c r="M12" s="339"/>
      <c r="N12" s="339"/>
      <c r="O12" s="342"/>
      <c r="P12" s="27"/>
      <c r="Q12" s="27"/>
      <c r="S12" s="114">
        <f>VLOOKUP(G12,'Maturity Rating'!A$2:B$5,2,FALSE)</f>
        <v>3</v>
      </c>
      <c r="T12" s="114">
        <f>VLOOKUP(H12,'Maturity Rating'!A$8:B$11,2,FALSE)</f>
        <v>3</v>
      </c>
      <c r="U12" s="114">
        <f>VLOOKUP(I12,'Maturity Rating'!A$14:B$17,2,FALSE)</f>
        <v>3</v>
      </c>
      <c r="V12" s="114">
        <f>VLOOKUP(J12,'Maturity Rating'!A$20:B$23,2,FALSE)</f>
        <v>3</v>
      </c>
      <c r="W12" t="str">
        <f t="shared" si="1"/>
        <v>3333</v>
      </c>
    </row>
    <row r="13" spans="1:26" ht="30" customHeight="1">
      <c r="A13" s="36" t="s">
        <v>533</v>
      </c>
      <c r="B13" s="355" t="s">
        <v>534</v>
      </c>
      <c r="C13" s="357" t="s">
        <v>535</v>
      </c>
      <c r="D13" s="256"/>
      <c r="E13" s="281" t="s">
        <v>536</v>
      </c>
      <c r="F13" s="73" t="s">
        <v>89</v>
      </c>
      <c r="G13" s="263" t="s">
        <v>118</v>
      </c>
      <c r="H13" s="263" t="s">
        <v>100</v>
      </c>
      <c r="I13" s="99" t="s">
        <v>120</v>
      </c>
      <c r="J13" s="87" t="s">
        <v>129</v>
      </c>
      <c r="K13" s="271">
        <f t="shared" si="0"/>
        <v>3</v>
      </c>
      <c r="L13" s="271">
        <f>IF(AND(D13="K",K13=1),'Maturity Rating'!$E$8,IF(K13="NA",K13,IF(D13="K",K13*'Maturity Rating'!$E$7,K13)))</f>
        <v>3</v>
      </c>
      <c r="M13" s="338">
        <f>IF(X13="NANANANANANANANANANA",K13,AVERAGE(L13:L14))</f>
        <v>3</v>
      </c>
      <c r="N13" s="338">
        <f>IF(M13&lt;1.1,1,IF(M13="NA",M13,(MIN(5,M13/3*5))))</f>
        <v>5</v>
      </c>
      <c r="O13" s="341" t="str">
        <f>IF(N13="NA",N13,VLOOKUP(Q13,'Maturity Rating'!G4:H8,2,FALSE))</f>
        <v>Adaptive</v>
      </c>
      <c r="P13" s="27"/>
      <c r="Q13" s="229">
        <f>IF(N13="NA",N13,ROUNDDOWN(N13,0))</f>
        <v>5</v>
      </c>
      <c r="S13" s="114">
        <f>VLOOKUP(G13,'Maturity Rating'!A$2:B$5,2,FALSE)</f>
        <v>3</v>
      </c>
      <c r="T13" s="114">
        <f>VLOOKUP(H13,'Maturity Rating'!A$8:B$11,2,FALSE)</f>
        <v>3</v>
      </c>
      <c r="U13" s="114">
        <f>VLOOKUP(I13,'Maturity Rating'!A$14:B$17,2,FALSE)</f>
        <v>3</v>
      </c>
      <c r="V13" s="114">
        <f>VLOOKUP(J13,'Maturity Rating'!A$20:B$23,2,FALSE)</f>
        <v>3</v>
      </c>
      <c r="W13" t="str">
        <f t="shared" si="1"/>
        <v>3333</v>
      </c>
      <c r="X13" t="str">
        <f>CONCATENATE(L13,L14)</f>
        <v>33</v>
      </c>
    </row>
    <row r="14" spans="1:26" ht="30" customHeight="1" thickBot="1">
      <c r="A14" s="74">
        <v>12.11</v>
      </c>
      <c r="B14" s="376"/>
      <c r="C14" s="360"/>
      <c r="D14" s="257"/>
      <c r="E14" s="268" t="s">
        <v>537</v>
      </c>
      <c r="F14" s="259" t="s">
        <v>89</v>
      </c>
      <c r="G14" s="259" t="s">
        <v>118</v>
      </c>
      <c r="H14" s="259" t="s">
        <v>100</v>
      </c>
      <c r="I14" s="259" t="s">
        <v>120</v>
      </c>
      <c r="J14" s="80" t="s">
        <v>129</v>
      </c>
      <c r="K14" s="272">
        <f t="shared" si="0"/>
        <v>3</v>
      </c>
      <c r="L14" s="272">
        <f>IF(AND(D14="K",K14=1),'Maturity Rating'!$E$8,IF(K14="NA",K14,IF(D14="K",K14*'Maturity Rating'!$E$7,K14)))</f>
        <v>3</v>
      </c>
      <c r="M14" s="339"/>
      <c r="N14" s="339"/>
      <c r="O14" s="342"/>
      <c r="P14" s="27"/>
      <c r="Q14" s="27"/>
      <c r="S14" s="114">
        <f>VLOOKUP(G14,'Maturity Rating'!A$2:B$5,2,FALSE)</f>
        <v>3</v>
      </c>
      <c r="T14" s="114">
        <f>VLOOKUP(H14,'Maturity Rating'!A$8:B$11,2,FALSE)</f>
        <v>3</v>
      </c>
      <c r="U14" s="114">
        <f>VLOOKUP(I14,'Maturity Rating'!A$14:B$17,2,FALSE)</f>
        <v>3</v>
      </c>
      <c r="V14" s="114">
        <f>VLOOKUP(J14,'Maturity Rating'!A$20:B$23,2,FALSE)</f>
        <v>3</v>
      </c>
      <c r="W14" t="str">
        <f t="shared" si="1"/>
        <v>3333</v>
      </c>
    </row>
    <row r="15" spans="1:26" ht="43.5">
      <c r="A15" s="36">
        <v>12.12</v>
      </c>
      <c r="B15" s="355" t="s">
        <v>538</v>
      </c>
      <c r="C15" s="368" t="s">
        <v>539</v>
      </c>
      <c r="D15" s="256"/>
      <c r="E15" s="307" t="s">
        <v>540</v>
      </c>
      <c r="F15" s="256" t="s">
        <v>89</v>
      </c>
      <c r="G15" s="263" t="s">
        <v>118</v>
      </c>
      <c r="H15" s="263" t="s">
        <v>100</v>
      </c>
      <c r="I15" s="263" t="s">
        <v>120</v>
      </c>
      <c r="J15" s="87" t="s">
        <v>129</v>
      </c>
      <c r="K15" s="271">
        <f t="shared" si="0"/>
        <v>3</v>
      </c>
      <c r="L15" s="274">
        <f>IF(AND(D15="K",K15=1),'Maturity Rating'!$E$8,IF(K15="NA",K15,IF(D15="K",K15*'Maturity Rating'!$E$7,K15)))</f>
        <v>3</v>
      </c>
      <c r="M15" s="338">
        <f>IF(X15="NANANANANANANA",K15,AVERAGE(L15:L17))</f>
        <v>2.8000000000000003</v>
      </c>
      <c r="N15" s="338">
        <f>IF(M15&lt;1.1,1,IF(M15="NA",M15,(MIN(5,M15/3*5))))</f>
        <v>4.666666666666667</v>
      </c>
      <c r="O15" s="341" t="str">
        <f>IF(N15="NA",N15,VLOOKUP(Q15,'Maturity Rating'!G4:H8,2,FALSE))</f>
        <v>Repeatable</v>
      </c>
      <c r="P15" s="27"/>
      <c r="Q15" s="229">
        <f>IF(N15="NA",N15,ROUNDDOWN(N15,0))</f>
        <v>4</v>
      </c>
      <c r="S15" s="114">
        <f>VLOOKUP(G15,'Maturity Rating'!A$2:B$5,2,FALSE)</f>
        <v>3</v>
      </c>
      <c r="T15" s="114">
        <f>VLOOKUP(H15,'Maturity Rating'!A$8:B$11,2,FALSE)</f>
        <v>3</v>
      </c>
      <c r="U15" s="114">
        <f>VLOOKUP(I15,'Maturity Rating'!A$14:B$17,2,FALSE)</f>
        <v>3</v>
      </c>
      <c r="V15" s="114">
        <f>VLOOKUP(J15,'Maturity Rating'!A$20:B$23,2,FALSE)</f>
        <v>3</v>
      </c>
      <c r="W15" t="str">
        <f t="shared" si="1"/>
        <v>3333</v>
      </c>
      <c r="X15" t="str">
        <f>CONCATENATE(L15,L16,L17)</f>
        <v>32.43</v>
      </c>
    </row>
    <row r="16" spans="1:26" ht="29">
      <c r="A16" s="74">
        <v>12.13</v>
      </c>
      <c r="B16" s="356"/>
      <c r="C16" s="365"/>
      <c r="D16" s="257" t="s">
        <v>87</v>
      </c>
      <c r="E16" s="52" t="s">
        <v>541</v>
      </c>
      <c r="F16" s="257" t="s">
        <v>89</v>
      </c>
      <c r="G16" s="263" t="s">
        <v>90</v>
      </c>
      <c r="H16" s="99" t="s">
        <v>125</v>
      </c>
      <c r="I16" s="263" t="s">
        <v>101</v>
      </c>
      <c r="J16" s="87" t="s">
        <v>464</v>
      </c>
      <c r="K16" s="271">
        <f t="shared" si="0"/>
        <v>2</v>
      </c>
      <c r="L16" s="273">
        <f>IF(AND(D16="K",K16=1),'Maturity Rating'!$E$8,IF(K16="NA",K16,IF(D16="K",K16*'Maturity Rating'!$E$7,K16)))</f>
        <v>2.4</v>
      </c>
      <c r="M16" s="339"/>
      <c r="N16" s="339"/>
      <c r="O16" s="342"/>
      <c r="P16" s="27"/>
      <c r="Q16" s="27"/>
      <c r="S16" s="114">
        <f>VLOOKUP(G16,'Maturity Rating'!A$2:B$5,2,FALSE)</f>
        <v>2</v>
      </c>
      <c r="T16" s="114">
        <f>VLOOKUP(H16,'Maturity Rating'!A$8:B$11,2,FALSE)</f>
        <v>2</v>
      </c>
      <c r="U16" s="114">
        <f>VLOOKUP(I16,'Maturity Rating'!A$14:B$17,2,FALSE)</f>
        <v>2</v>
      </c>
      <c r="V16" s="114">
        <f>VLOOKUP(J16,'Maturity Rating'!A$20:B$23,2,FALSE)</f>
        <v>2</v>
      </c>
      <c r="W16" t="str">
        <f t="shared" si="1"/>
        <v>2222</v>
      </c>
    </row>
    <row r="17" spans="1:23" ht="36.5" customHeight="1" thickBot="1">
      <c r="A17" s="75">
        <v>12.14</v>
      </c>
      <c r="B17" s="376"/>
      <c r="C17" s="367"/>
      <c r="D17" s="259"/>
      <c r="E17" s="268" t="s">
        <v>542</v>
      </c>
      <c r="F17" s="259" t="s">
        <v>89</v>
      </c>
      <c r="G17" s="259" t="s">
        <v>118</v>
      </c>
      <c r="H17" s="59" t="s">
        <v>100</v>
      </c>
      <c r="I17" s="59" t="s">
        <v>120</v>
      </c>
      <c r="J17" s="59" t="s">
        <v>129</v>
      </c>
      <c r="K17" s="272">
        <f t="shared" si="0"/>
        <v>3</v>
      </c>
      <c r="L17" s="262">
        <f>IF(AND(D17="K",K17=1),'Maturity Rating'!$E$8,IF(K17="NA",K17,IF(D17="K",K17*'Maturity Rating'!$E$7,K17)))</f>
        <v>3</v>
      </c>
      <c r="M17" s="340"/>
      <c r="N17" s="340"/>
      <c r="O17" s="343"/>
      <c r="P17" s="27"/>
      <c r="Q17" s="27"/>
      <c r="S17" s="114">
        <f>VLOOKUP(G17,'Maturity Rating'!A$2:B$5,2,FALSE)</f>
        <v>3</v>
      </c>
      <c r="T17" s="114">
        <f>VLOOKUP(H17,'Maturity Rating'!A$8:B$11,2,FALSE)</f>
        <v>3</v>
      </c>
      <c r="U17" s="114">
        <f>VLOOKUP(I17,'Maturity Rating'!A$14:B$17,2,FALSE)</f>
        <v>3</v>
      </c>
      <c r="V17" s="114">
        <f>VLOOKUP(J17,'Maturity Rating'!A$20:B$23,2,FALSE)</f>
        <v>3</v>
      </c>
      <c r="W17" t="str">
        <f t="shared" si="1"/>
        <v>3333</v>
      </c>
    </row>
    <row r="18" spans="1:23">
      <c r="C18" s="23"/>
      <c r="D18" s="23"/>
    </row>
  </sheetData>
  <mergeCells count="21">
    <mergeCell ref="C1:D1"/>
    <mergeCell ref="M4:M6"/>
    <mergeCell ref="N4:N6"/>
    <mergeCell ref="O4:O6"/>
    <mergeCell ref="M7:M12"/>
    <mergeCell ref="N7:N12"/>
    <mergeCell ref="O7:O12"/>
    <mergeCell ref="C4:C6"/>
    <mergeCell ref="C7:C12"/>
    <mergeCell ref="M13:M14"/>
    <mergeCell ref="N13:N14"/>
    <mergeCell ref="O13:O14"/>
    <mergeCell ref="M15:M17"/>
    <mergeCell ref="N15:N17"/>
    <mergeCell ref="O15:O17"/>
    <mergeCell ref="B7:B12"/>
    <mergeCell ref="B13:B14"/>
    <mergeCell ref="C13:C14"/>
    <mergeCell ref="B4:B6"/>
    <mergeCell ref="C15:C17"/>
    <mergeCell ref="B15:B17"/>
  </mergeCells>
  <pageMargins left="0.7" right="0.7" top="0.75" bottom="0.75" header="0.3" footer="0.3"/>
  <pageSetup paperSize="9" orientation="portrait" r:id="rId1"/>
  <ignoredErrors>
    <ignoredError sqref="E1:F1 K5:O17 K4:L4 N4:O4" evalError="1"/>
  </ignoredErrors>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F00-000000000000}">
          <x14:formula1>
            <xm:f>'Maturity Rating'!$A$8:$A$11</xm:f>
          </x14:formula1>
          <xm:sqref>H4:H17</xm:sqref>
        </x14:dataValidation>
        <x14:dataValidation type="list" allowBlank="1" showInputMessage="1" showErrorMessage="1" xr:uid="{00000000-0002-0000-0F00-000001000000}">
          <x14:formula1>
            <xm:f>'Maturity Rating'!$A$20:$A$23</xm:f>
          </x14:formula1>
          <xm:sqref>J4:J17</xm:sqref>
        </x14:dataValidation>
        <x14:dataValidation type="list" allowBlank="1" showInputMessage="1" showErrorMessage="1" xr:uid="{00000000-0002-0000-0F00-000002000000}">
          <x14:formula1>
            <xm:f>'Maturity Rating'!$A$14:$A$17</xm:f>
          </x14:formula1>
          <xm:sqref>I4:I17</xm:sqref>
        </x14:dataValidation>
        <x14:dataValidation type="list" allowBlank="1" showInputMessage="1" showErrorMessage="1" xr:uid="{00000000-0002-0000-0F00-000003000000}">
          <x14:formula1>
            <xm:f>'Maturity Rating'!$A$2:$A$5</xm:f>
          </x14:formula1>
          <xm:sqref>G4:G17</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2"/>
  </sheetPr>
  <dimension ref="A1:Y48"/>
  <sheetViews>
    <sheetView showGridLines="0" topLeftCell="D7" zoomScale="70" zoomScaleNormal="70" workbookViewId="0">
      <selection activeCell="J37" sqref="J37"/>
    </sheetView>
  </sheetViews>
  <sheetFormatPr defaultColWidth="9.08984375" defaultRowHeight="14.5"/>
  <cols>
    <col min="1" max="1" width="8.81640625" style="22" bestFit="1" customWidth="1"/>
    <col min="2" max="2" width="23.08984375" style="24" customWidth="1"/>
    <col min="3" max="3" width="34.90625" style="25" customWidth="1"/>
    <col min="4" max="4" width="25" style="25" customWidth="1"/>
    <col min="5" max="5" width="79.1796875" style="24" customWidth="1"/>
    <col min="6" max="6" width="31.36328125" style="62" customWidth="1"/>
    <col min="7" max="8" width="20.6328125" style="62" customWidth="1"/>
    <col min="9" max="9" width="20.90625" style="62" bestFit="1" customWidth="1"/>
    <col min="10" max="10" width="20.6328125" style="62" customWidth="1"/>
    <col min="11" max="11" width="13.6328125" style="24" bestFit="1" customWidth="1"/>
    <col min="12" max="12" width="26.36328125" style="24" customWidth="1"/>
    <col min="13" max="13" width="18.81640625" style="24" customWidth="1"/>
    <col min="14" max="14" width="20.90625" style="24" customWidth="1"/>
    <col min="15" max="15" width="13.6328125" style="24" customWidth="1"/>
    <col min="16" max="16" width="3.36328125" customWidth="1"/>
    <col min="17" max="17" width="3.90625" hidden="1" customWidth="1"/>
    <col min="18" max="18" width="5.36328125" hidden="1" customWidth="1"/>
    <col min="19" max="19" width="4.36328125" style="189" hidden="1" customWidth="1"/>
    <col min="20" max="20" width="8.54296875" style="189" hidden="1" customWidth="1"/>
    <col min="21" max="21" width="7.08984375" style="189" hidden="1" customWidth="1"/>
    <col min="22" max="22" width="8.54296875" style="189" hidden="1" customWidth="1"/>
    <col min="23" max="23" width="5.1796875" hidden="1" customWidth="1"/>
    <col min="24" max="24" width="7.453125" hidden="1" customWidth="1"/>
    <col min="26" max="16384" width="9.08984375" style="24"/>
  </cols>
  <sheetData>
    <row r="1" spans="1:25" ht="22.5" customHeight="1" thickBot="1">
      <c r="C1" s="353" t="s">
        <v>66</v>
      </c>
      <c r="D1" s="354"/>
      <c r="E1" s="45" t="str">
        <f>IF(F1="NA","Not Applicable",VLOOKUP(T1,'Maturity Rating'!G4:H8,2,FALSE))</f>
        <v>Repeatable</v>
      </c>
      <c r="F1" s="46">
        <f>IF(U1="NANANANANANA","NA",AVERAGE(N4:N48))</f>
        <v>4.1188775510204074</v>
      </c>
      <c r="G1" s="22"/>
      <c r="I1" s="86"/>
      <c r="J1" s="83"/>
      <c r="K1" s="84"/>
      <c r="Q1" s="224"/>
      <c r="S1"/>
      <c r="T1" s="230">
        <f>ROUNDDOWN(F1,0)</f>
        <v>4</v>
      </c>
      <c r="U1" t="str">
        <f>CONCATENATE(N4,N7,N14,N22,N26,N33,N39)</f>
        <v>4.222222222222224.666666666666674.770833333333334.583333333333334.523809523809522.944444444444443.12083333333333</v>
      </c>
      <c r="V1"/>
    </row>
    <row r="2" spans="1:25" ht="15" thickBot="1"/>
    <row r="3" spans="1:25" s="22" customFormat="1" ht="30.75" customHeight="1" thickBot="1">
      <c r="A3" s="88" t="s">
        <v>2</v>
      </c>
      <c r="B3" s="81" t="s">
        <v>67</v>
      </c>
      <c r="C3" s="81" t="s">
        <v>68</v>
      </c>
      <c r="D3" s="81" t="s">
        <v>69</v>
      </c>
      <c r="E3" s="81" t="s">
        <v>70</v>
      </c>
      <c r="F3" s="81" t="s">
        <v>71</v>
      </c>
      <c r="G3" s="81" t="s">
        <v>72</v>
      </c>
      <c r="H3" s="81" t="s">
        <v>73</v>
      </c>
      <c r="I3" s="81" t="s">
        <v>74</v>
      </c>
      <c r="J3" s="81" t="s">
        <v>75</v>
      </c>
      <c r="K3" s="81" t="s">
        <v>76</v>
      </c>
      <c r="L3" s="81" t="s">
        <v>77</v>
      </c>
      <c r="M3" s="81" t="s">
        <v>78</v>
      </c>
      <c r="N3" s="81" t="s">
        <v>79</v>
      </c>
      <c r="O3" s="89" t="s">
        <v>80</v>
      </c>
      <c r="P3"/>
      <c r="Q3"/>
      <c r="R3"/>
      <c r="S3" s="227" t="s">
        <v>81</v>
      </c>
      <c r="T3" s="227" t="s">
        <v>82</v>
      </c>
      <c r="U3" s="227" t="s">
        <v>83</v>
      </c>
      <c r="V3" s="227" t="s">
        <v>84</v>
      </c>
      <c r="W3" s="228"/>
      <c r="X3" s="228"/>
      <c r="Y3" s="228"/>
    </row>
    <row r="4" spans="1:25" s="22" customFormat="1" ht="30.75" customHeight="1">
      <c r="A4" s="263">
        <v>13.1</v>
      </c>
      <c r="B4" s="344" t="s">
        <v>85</v>
      </c>
      <c r="C4" s="364" t="s">
        <v>543</v>
      </c>
      <c r="D4" s="185" t="s">
        <v>87</v>
      </c>
      <c r="E4" s="147" t="s">
        <v>544</v>
      </c>
      <c r="F4" s="263" t="s">
        <v>89</v>
      </c>
      <c r="G4" s="263" t="s">
        <v>118</v>
      </c>
      <c r="H4" s="263" t="s">
        <v>100</v>
      </c>
      <c r="I4" s="263" t="s">
        <v>120</v>
      </c>
      <c r="J4" s="263" t="s">
        <v>129</v>
      </c>
      <c r="K4" s="271">
        <f>IF(W4="NANANANA",S4,IF(AND(OR(G4="Formally Documented",G4="Informally Documented"),H4="Not Implemented"),0.5*AVERAGE(S4:V4),AVERAGE(S4:V4)))</f>
        <v>3</v>
      </c>
      <c r="L4" s="271">
        <f>IF(AND(D4="K",K4=1),'Maturity Rating'!$E$8,IF(K4="NA",K4,IF(D4="K",K4*'Maturity Rating'!$E$7,K4)))</f>
        <v>3.5999999999999996</v>
      </c>
      <c r="M4" s="371">
        <f>IF(X4="NANANANA",K4,AVERAGE(L4:L6))</f>
        <v>2.5333333333333332</v>
      </c>
      <c r="N4" s="371">
        <f>IF(M4&lt;1.1,1,IF(M4="NA",M4,(MIN(5,M4/3*5))))</f>
        <v>4.2222222222222223</v>
      </c>
      <c r="O4" s="351" t="str">
        <f>IF(N4="NA",N4,VLOOKUP(Q4,'Maturity Rating'!G4:H8,2,FALSE))</f>
        <v>Repeatable</v>
      </c>
      <c r="P4"/>
      <c r="Q4" s="229">
        <f>IF(N4="NA",N4,ROUNDDOWN(N4,0))</f>
        <v>4</v>
      </c>
      <c r="R4"/>
      <c r="S4" s="114">
        <f>VLOOKUP(G4,'Maturity Rating'!A$2:B$5,2,FALSE)</f>
        <v>3</v>
      </c>
      <c r="T4" s="114">
        <f>VLOOKUP(H4,'Maturity Rating'!A$8:B$11,2,FALSE)</f>
        <v>3</v>
      </c>
      <c r="U4" s="114">
        <f>VLOOKUP(I4,'Maturity Rating'!A$14:B$17,2,FALSE)</f>
        <v>3</v>
      </c>
      <c r="V4" s="114">
        <f>VLOOKUP(J4,'Maturity Rating'!A$20:B$23,2,FALSE)</f>
        <v>3</v>
      </c>
      <c r="W4" t="str">
        <f>CONCATENATE(S4,T4,U4,V4)</f>
        <v>3333</v>
      </c>
      <c r="X4" t="str">
        <f>CONCATENATE(L4,L5,L6)</f>
        <v>3.631</v>
      </c>
      <c r="Y4" s="228"/>
    </row>
    <row r="5" spans="1:25" s="22" customFormat="1" ht="30.75" customHeight="1">
      <c r="A5" s="257">
        <v>13.2</v>
      </c>
      <c r="B5" s="345"/>
      <c r="C5" s="365"/>
      <c r="D5" s="186"/>
      <c r="E5" s="266" t="s">
        <v>524</v>
      </c>
      <c r="F5" s="257" t="s">
        <v>89</v>
      </c>
      <c r="G5" s="257" t="s">
        <v>118</v>
      </c>
      <c r="H5" s="257" t="s">
        <v>100</v>
      </c>
      <c r="I5" s="257" t="s">
        <v>120</v>
      </c>
      <c r="J5" s="257" t="s">
        <v>129</v>
      </c>
      <c r="K5" s="273">
        <f t="shared" ref="K5:K6" si="0">IF(W5="NANANANA",S5,IF(AND(OR(G5="Formally Documented",G5="Informally Documented"),H5="Not Implemented"),0.5*AVERAGE(S5:V5),AVERAGE(S5:V5)))</f>
        <v>3</v>
      </c>
      <c r="L5" s="273">
        <f>IF(AND(D5="K",K5=1),'Maturity Rating'!$E$8,IF(K5="NA",K5,IF(D5="K",K5*'Maturity Rating'!$E$7,K5)))</f>
        <v>3</v>
      </c>
      <c r="M5" s="374"/>
      <c r="N5" s="374"/>
      <c r="O5" s="342"/>
      <c r="P5"/>
      <c r="Q5"/>
      <c r="R5"/>
      <c r="S5" s="114">
        <f>VLOOKUP(G5,'Maturity Rating'!A$2:B$5,2,FALSE)</f>
        <v>3</v>
      </c>
      <c r="T5" s="114">
        <f>VLOOKUP(H5,'Maturity Rating'!A$8:B$11,2,FALSE)</f>
        <v>3</v>
      </c>
      <c r="U5" s="114">
        <f>VLOOKUP(I5,'Maturity Rating'!A$14:B$17,2,FALSE)</f>
        <v>3</v>
      </c>
      <c r="V5" s="114">
        <f>VLOOKUP(J5,'Maturity Rating'!A$20:B$23,2,FALSE)</f>
        <v>3</v>
      </c>
      <c r="W5" t="str">
        <f>CONCATENATE(S5,T5,U5,V5)</f>
        <v>3333</v>
      </c>
      <c r="X5" s="228"/>
      <c r="Y5" s="228"/>
    </row>
    <row r="6" spans="1:25" s="22" customFormat="1" ht="30.75" customHeight="1" thickBot="1">
      <c r="A6" s="258">
        <v>13.3</v>
      </c>
      <c r="B6" s="346"/>
      <c r="C6" s="366"/>
      <c r="D6" s="188"/>
      <c r="E6" s="267" t="s">
        <v>94</v>
      </c>
      <c r="F6" s="258" t="s">
        <v>89</v>
      </c>
      <c r="G6" s="258" t="s">
        <v>127</v>
      </c>
      <c r="H6" s="258" t="s">
        <v>95</v>
      </c>
      <c r="I6" s="258" t="s">
        <v>91</v>
      </c>
      <c r="J6" s="258" t="s">
        <v>91</v>
      </c>
      <c r="K6" s="274">
        <f t="shared" si="0"/>
        <v>1</v>
      </c>
      <c r="L6" s="274">
        <f>IF(AND(D6="K",K6=1),'Maturity Rating'!$E$8,IF(K6="NA",K6,IF(D6="K",K6*'Maturity Rating'!$E$7,K6)))</f>
        <v>1</v>
      </c>
      <c r="M6" s="375"/>
      <c r="N6" s="375"/>
      <c r="O6" s="352"/>
      <c r="P6"/>
      <c r="Q6"/>
      <c r="R6"/>
      <c r="S6" s="114">
        <f>VLOOKUP(G6,'Maturity Rating'!A$2:B$5,2,FALSE)</f>
        <v>1</v>
      </c>
      <c r="T6" s="114">
        <f>VLOOKUP(H6,'Maturity Rating'!A$8:B$11,2,FALSE)</f>
        <v>1</v>
      </c>
      <c r="U6" s="114" t="str">
        <f>VLOOKUP(I6,'Maturity Rating'!A$14:B$17,2,FALSE)</f>
        <v>NA</v>
      </c>
      <c r="V6" s="114" t="str">
        <f>VLOOKUP(J6,'Maturity Rating'!A$20:B$23,2,FALSE)</f>
        <v>NA</v>
      </c>
      <c r="W6" t="str">
        <f>CONCATENATE(S6,T6,U6,V6)</f>
        <v>11NANA</v>
      </c>
      <c r="X6" s="228"/>
      <c r="Y6" s="228"/>
    </row>
    <row r="7" spans="1:25" ht="29">
      <c r="A7" s="36">
        <v>13.4</v>
      </c>
      <c r="B7" s="359" t="s">
        <v>545</v>
      </c>
      <c r="C7" s="368" t="s">
        <v>546</v>
      </c>
      <c r="D7" s="256" t="s">
        <v>87</v>
      </c>
      <c r="E7" s="294" t="s">
        <v>547</v>
      </c>
      <c r="F7" s="256" t="s">
        <v>89</v>
      </c>
      <c r="G7" s="256" t="s">
        <v>118</v>
      </c>
      <c r="H7" s="256" t="s">
        <v>100</v>
      </c>
      <c r="I7" s="256" t="s">
        <v>120</v>
      </c>
      <c r="J7" s="256" t="s">
        <v>102</v>
      </c>
      <c r="K7" s="278">
        <f>IF(W7="NANANANA",S7,IF(AND(OR(G7="Formally Documented",G7="Informally Documented"),H7="Not Implemented"),0.5*AVERAGE(S7:V7),AVERAGE(S7:V7)))</f>
        <v>2.5</v>
      </c>
      <c r="L7" s="278">
        <f>IF(AND(D7="K",K7=1),'Maturity Rating'!$E$8,IF(K7="NA",K7,IF(D7="K",K7*'Maturity Rating'!$E$7,K7)))</f>
        <v>3</v>
      </c>
      <c r="M7" s="338">
        <f>IF(X7="NANANANANANA",K7,AVERAGE(L7:L13))</f>
        <v>2.8000000000000003</v>
      </c>
      <c r="N7" s="338">
        <f>IF(M7&lt;1.1,1,IF(M7="NA",M7,(MIN(5,M7/3*5))))</f>
        <v>4.666666666666667</v>
      </c>
      <c r="O7" s="341" t="str">
        <f>IF(N7="NA",N7,VLOOKUP(Q7,'Maturity Rating'!G4:H8,2,FALSE))</f>
        <v>Repeatable</v>
      </c>
      <c r="P7" s="27"/>
      <c r="Q7" s="229">
        <f>IF(N7="NA",N7,ROUNDDOWN(N7,0))</f>
        <v>4</v>
      </c>
      <c r="S7" s="114">
        <f>VLOOKUP(G7,'Maturity Rating'!A$2:B$5,2,FALSE)</f>
        <v>3</v>
      </c>
      <c r="T7" s="114">
        <f>VLOOKUP(H7,'Maturity Rating'!A$8:B$11,2,FALSE)</f>
        <v>3</v>
      </c>
      <c r="U7" s="114">
        <f>VLOOKUP(I7,'Maturity Rating'!A$14:B$17,2,FALSE)</f>
        <v>3</v>
      </c>
      <c r="V7" s="114">
        <f>VLOOKUP(J7,'Maturity Rating'!A$20:B$23,2,FALSE)</f>
        <v>1</v>
      </c>
      <c r="W7" t="str">
        <f>CONCATENATE(S7,T7,U7,V7)</f>
        <v>3331</v>
      </c>
      <c r="X7" t="str">
        <f>CONCATENATE(L7,L8,L9,L10,L11,L12,L13)</f>
        <v>33333.613</v>
      </c>
    </row>
    <row r="8" spans="1:25" ht="43.5">
      <c r="A8" s="74">
        <v>13.5</v>
      </c>
      <c r="B8" s="345"/>
      <c r="C8" s="365"/>
      <c r="D8" s="266"/>
      <c r="E8" s="266" t="s">
        <v>548</v>
      </c>
      <c r="F8" s="257" t="s">
        <v>89</v>
      </c>
      <c r="G8" s="257" t="s">
        <v>118</v>
      </c>
      <c r="H8" s="257" t="s">
        <v>100</v>
      </c>
      <c r="I8" s="257" t="s">
        <v>120</v>
      </c>
      <c r="J8" s="257" t="s">
        <v>129</v>
      </c>
      <c r="K8" s="271">
        <f t="shared" ref="K8:K48" si="1">IF(W8="NANANANA",S8,IF(AND(OR(G8="Formally Documented",G8="Informally Documented"),H8="Not Implemented"),0.5*AVERAGE(S8:V8),AVERAGE(S8:V8)))</f>
        <v>3</v>
      </c>
      <c r="L8" s="271">
        <f>IF(AND(D8="K",K8=1),'Maturity Rating'!$E$8,IF(K8="NA",K8,IF(D8="K",K8*'Maturity Rating'!$E$7,K8)))</f>
        <v>3</v>
      </c>
      <c r="M8" s="339"/>
      <c r="N8" s="339"/>
      <c r="O8" s="342"/>
      <c r="P8" s="27"/>
      <c r="Q8" s="229"/>
      <c r="S8" s="114">
        <f>VLOOKUP(G8,'Maturity Rating'!A$2:B$5,2,FALSE)</f>
        <v>3</v>
      </c>
      <c r="T8" s="114">
        <f>VLOOKUP(H8,'Maturity Rating'!A$8:B$11,2,FALSE)</f>
        <v>3</v>
      </c>
      <c r="U8" s="114">
        <f>VLOOKUP(I8,'Maturity Rating'!A$14:B$17,2,FALSE)</f>
        <v>3</v>
      </c>
      <c r="V8" s="114">
        <f>VLOOKUP(J8,'Maturity Rating'!A$20:B$23,2,FALSE)</f>
        <v>3</v>
      </c>
      <c r="W8" t="str">
        <f t="shared" ref="W8:W48" si="2">CONCATENATE(S8,T8,U8,V8)</f>
        <v>3333</v>
      </c>
    </row>
    <row r="9" spans="1:25" ht="29">
      <c r="A9" s="74">
        <v>13.6</v>
      </c>
      <c r="B9" s="345"/>
      <c r="C9" s="365"/>
      <c r="D9" s="266"/>
      <c r="E9" s="266" t="s">
        <v>549</v>
      </c>
      <c r="F9" s="257" t="s">
        <v>89</v>
      </c>
      <c r="G9" s="257" t="s">
        <v>118</v>
      </c>
      <c r="H9" s="257" t="s">
        <v>100</v>
      </c>
      <c r="I9" s="257" t="s">
        <v>120</v>
      </c>
      <c r="J9" s="257" t="s">
        <v>129</v>
      </c>
      <c r="K9" s="271">
        <f t="shared" si="1"/>
        <v>3</v>
      </c>
      <c r="L9" s="271">
        <f>IF(AND(D9="K",K9=1),'Maturity Rating'!$E$8,IF(K9="NA",K9,IF(D9="K",K9*'Maturity Rating'!$E$7,K9)))</f>
        <v>3</v>
      </c>
      <c r="M9" s="339"/>
      <c r="N9" s="339"/>
      <c r="O9" s="342"/>
      <c r="P9" s="27"/>
      <c r="Q9" s="229"/>
      <c r="S9" s="114">
        <f>VLOOKUP(G9,'Maturity Rating'!A$2:B$5,2,FALSE)</f>
        <v>3</v>
      </c>
      <c r="T9" s="114">
        <f>VLOOKUP(H9,'Maturity Rating'!A$8:B$11,2,FALSE)</f>
        <v>3</v>
      </c>
      <c r="U9" s="114">
        <f>VLOOKUP(I9,'Maturity Rating'!A$14:B$17,2,FALSE)</f>
        <v>3</v>
      </c>
      <c r="V9" s="114">
        <f>VLOOKUP(J9,'Maturity Rating'!A$20:B$23,2,FALSE)</f>
        <v>3</v>
      </c>
      <c r="W9" t="str">
        <f t="shared" si="2"/>
        <v>3333</v>
      </c>
    </row>
    <row r="10" spans="1:25" ht="29">
      <c r="A10" s="74">
        <v>13.7</v>
      </c>
      <c r="B10" s="345"/>
      <c r="C10" s="365"/>
      <c r="D10" s="266"/>
      <c r="E10" s="266" t="s">
        <v>550</v>
      </c>
      <c r="F10" s="257" t="s">
        <v>89</v>
      </c>
      <c r="G10" s="257" t="s">
        <v>118</v>
      </c>
      <c r="H10" s="258" t="s">
        <v>100</v>
      </c>
      <c r="I10" s="258" t="s">
        <v>120</v>
      </c>
      <c r="J10" s="258" t="s">
        <v>129</v>
      </c>
      <c r="K10" s="271">
        <f t="shared" si="1"/>
        <v>3</v>
      </c>
      <c r="L10" s="271">
        <f>IF(AND(D10="K",K10=1),'Maturity Rating'!$E$8,IF(K10="NA",K10,IF(D10="K",K10*'Maturity Rating'!$E$7,K10)))</f>
        <v>3</v>
      </c>
      <c r="M10" s="339"/>
      <c r="N10" s="339"/>
      <c r="O10" s="352"/>
      <c r="P10" s="27"/>
      <c r="Q10" s="229"/>
      <c r="S10" s="114">
        <f>VLOOKUP(G10,'Maturity Rating'!A$2:B$5,2,FALSE)</f>
        <v>3</v>
      </c>
      <c r="T10" s="114">
        <f>VLOOKUP(H10,'Maturity Rating'!A$8:B$11,2,FALSE)</f>
        <v>3</v>
      </c>
      <c r="U10" s="114">
        <f>VLOOKUP(I10,'Maturity Rating'!A$14:B$17,2,FALSE)</f>
        <v>3</v>
      </c>
      <c r="V10" s="114">
        <f>VLOOKUP(J10,'Maturity Rating'!A$20:B$23,2,FALSE)</f>
        <v>3</v>
      </c>
      <c r="W10" t="str">
        <f t="shared" si="2"/>
        <v>3333</v>
      </c>
    </row>
    <row r="11" spans="1:25">
      <c r="A11" s="74">
        <v>13.8</v>
      </c>
      <c r="B11" s="345"/>
      <c r="C11" s="365"/>
      <c r="D11" s="257" t="s">
        <v>87</v>
      </c>
      <c r="E11" s="52" t="s">
        <v>551</v>
      </c>
      <c r="F11" s="257" t="s">
        <v>89</v>
      </c>
      <c r="G11" s="257" t="s">
        <v>118</v>
      </c>
      <c r="H11" s="258" t="s">
        <v>100</v>
      </c>
      <c r="I11" s="258" t="s">
        <v>120</v>
      </c>
      <c r="J11" s="258" t="s">
        <v>129</v>
      </c>
      <c r="K11" s="271">
        <f t="shared" si="1"/>
        <v>3</v>
      </c>
      <c r="L11" s="271">
        <f>IF(AND(D11="K",K11=1),'Maturity Rating'!$E$8,IF(K11="NA",K11,IF(D11="K",K11*'Maturity Rating'!$E$7,K11)))</f>
        <v>3.5999999999999996</v>
      </c>
      <c r="M11" s="339"/>
      <c r="N11" s="339"/>
      <c r="O11" s="352"/>
      <c r="P11" s="27"/>
      <c r="Q11" s="229"/>
      <c r="S11" s="114">
        <f>VLOOKUP(G11,'Maturity Rating'!A$2:B$5,2,FALSE)</f>
        <v>3</v>
      </c>
      <c r="T11" s="114">
        <f>VLOOKUP(H11,'Maturity Rating'!A$8:B$11,2,FALSE)</f>
        <v>3</v>
      </c>
      <c r="U11" s="114">
        <f>VLOOKUP(I11,'Maturity Rating'!A$14:B$17,2,FALSE)</f>
        <v>3</v>
      </c>
      <c r="V11" s="114">
        <f>VLOOKUP(J11,'Maturity Rating'!A$20:B$23,2,FALSE)</f>
        <v>3</v>
      </c>
      <c r="W11" t="str">
        <f t="shared" si="2"/>
        <v>3333</v>
      </c>
    </row>
    <row r="12" spans="1:25" ht="29">
      <c r="A12" s="74">
        <v>13.9</v>
      </c>
      <c r="B12" s="346"/>
      <c r="C12" s="366"/>
      <c r="D12" s="258"/>
      <c r="E12" s="267" t="s">
        <v>552</v>
      </c>
      <c r="F12" s="258" t="s">
        <v>89</v>
      </c>
      <c r="G12" s="257" t="s">
        <v>127</v>
      </c>
      <c r="H12" s="258" t="s">
        <v>95</v>
      </c>
      <c r="I12" s="258" t="s">
        <v>206</v>
      </c>
      <c r="J12" s="258" t="s">
        <v>102</v>
      </c>
      <c r="K12" s="271">
        <f t="shared" ref="K12" si="3">IF(W12="NANANANA",S12,IF(AND(OR(G12="Formally Documented",G12="Informally Documented"),H12="Not Implemented"),0.5*AVERAGE(S12:V12),AVERAGE(S12:V12)))</f>
        <v>1</v>
      </c>
      <c r="L12" s="271">
        <f>IF(AND(D12="K",K12=1),'Maturity Rating'!$E$8,IF(K12="NA",K12,IF(D12="K",K12*'Maturity Rating'!$E$7,K12)))</f>
        <v>1</v>
      </c>
      <c r="M12" s="339"/>
      <c r="N12" s="339"/>
      <c r="O12" s="352"/>
      <c r="P12" s="27"/>
      <c r="Q12" s="229"/>
      <c r="S12" s="114">
        <f>VLOOKUP(G12,'Maturity Rating'!A$2:B$5,2,FALSE)</f>
        <v>1</v>
      </c>
      <c r="T12" s="114">
        <f>VLOOKUP(H12,'Maturity Rating'!A$8:B$11,2,FALSE)</f>
        <v>1</v>
      </c>
      <c r="U12" s="114">
        <f>VLOOKUP(I12,'Maturity Rating'!A$14:B$17,2,FALSE)</f>
        <v>1</v>
      </c>
      <c r="V12" s="114">
        <f>VLOOKUP(J12,'Maturity Rating'!A$20:B$23,2,FALSE)</f>
        <v>1</v>
      </c>
      <c r="W12" t="str">
        <f t="shared" si="2"/>
        <v>1111</v>
      </c>
    </row>
    <row r="13" spans="1:25" ht="15" thickBot="1">
      <c r="A13" s="75" t="s">
        <v>553</v>
      </c>
      <c r="B13" s="347"/>
      <c r="C13" s="367"/>
      <c r="D13" s="268"/>
      <c r="E13" s="268" t="s">
        <v>554</v>
      </c>
      <c r="F13" s="259" t="s">
        <v>89</v>
      </c>
      <c r="G13" s="259" t="s">
        <v>118</v>
      </c>
      <c r="H13" s="259" t="s">
        <v>100</v>
      </c>
      <c r="I13" s="259" t="s">
        <v>120</v>
      </c>
      <c r="J13" s="259" t="s">
        <v>129</v>
      </c>
      <c r="K13" s="272">
        <f t="shared" si="1"/>
        <v>3</v>
      </c>
      <c r="L13" s="272">
        <f>IF(AND(D13="K",K13=1),'Maturity Rating'!$E$8,IF(K13="NA",K13,IF(D13="K",K13*'Maturity Rating'!$E$7,K13)))</f>
        <v>3</v>
      </c>
      <c r="M13" s="340"/>
      <c r="N13" s="340"/>
      <c r="O13" s="343"/>
      <c r="P13" s="27"/>
      <c r="Q13" s="27"/>
      <c r="S13" s="114">
        <f>VLOOKUP(G13,'Maturity Rating'!A$2:B$5,2,FALSE)</f>
        <v>3</v>
      </c>
      <c r="T13" s="114">
        <f>VLOOKUP(H13,'Maturity Rating'!A$8:B$11,2,FALSE)</f>
        <v>3</v>
      </c>
      <c r="U13" s="114">
        <f>VLOOKUP(I13,'Maturity Rating'!A$14:B$17,2,FALSE)</f>
        <v>3</v>
      </c>
      <c r="V13" s="114">
        <f>VLOOKUP(J13,'Maturity Rating'!A$20:B$23,2,FALSE)</f>
        <v>3</v>
      </c>
      <c r="W13" t="str">
        <f t="shared" si="2"/>
        <v>3333</v>
      </c>
    </row>
    <row r="14" spans="1:25" ht="43.5">
      <c r="A14" s="36">
        <v>13.11</v>
      </c>
      <c r="B14" s="355" t="s">
        <v>555</v>
      </c>
      <c r="C14" s="357" t="s">
        <v>556</v>
      </c>
      <c r="D14" s="256" t="s">
        <v>87</v>
      </c>
      <c r="E14" s="54" t="s">
        <v>557</v>
      </c>
      <c r="F14" s="256" t="s">
        <v>89</v>
      </c>
      <c r="G14" s="256" t="s">
        <v>118</v>
      </c>
      <c r="H14" s="256" t="s">
        <v>100</v>
      </c>
      <c r="I14" s="256" t="s">
        <v>120</v>
      </c>
      <c r="J14" s="108" t="s">
        <v>129</v>
      </c>
      <c r="K14" s="278">
        <f t="shared" si="1"/>
        <v>3</v>
      </c>
      <c r="L14" s="278">
        <f>IF(AND(D14="K",K14=1),'Maturity Rating'!$E$8,IF(K14="NA",K14,IF(D14="K",K14*'Maturity Rating'!$E$7,K14)))</f>
        <v>3.5999999999999996</v>
      </c>
      <c r="M14" s="338">
        <f>IF(X14="NANANANANANANANA",K14,AVERAGE(L14:L21))</f>
        <v>2.8624999999999998</v>
      </c>
      <c r="N14" s="338">
        <f>IF(M14&lt;1.1,1,IF(M14="NA",M14,(MIN(5,M14/3*5))))</f>
        <v>4.770833333333333</v>
      </c>
      <c r="O14" s="341" t="str">
        <f>IF(N14="NA",N14,VLOOKUP(Q14,'Maturity Rating'!G4:H8,2,FALSE))</f>
        <v>Repeatable</v>
      </c>
      <c r="P14" s="27"/>
      <c r="Q14" s="229">
        <f>IF(N14="NA",N14,ROUNDDOWN(N14,0))</f>
        <v>4</v>
      </c>
      <c r="S14" s="114">
        <f>VLOOKUP(G14,'Maturity Rating'!A$2:B$5,2,FALSE)</f>
        <v>3</v>
      </c>
      <c r="T14" s="114">
        <f>VLOOKUP(H14,'Maturity Rating'!A$8:B$11,2,FALSE)</f>
        <v>3</v>
      </c>
      <c r="U14" s="114">
        <f>VLOOKUP(I14,'Maturity Rating'!A$14:B$17,2,FALSE)</f>
        <v>3</v>
      </c>
      <c r="V14" s="114">
        <f>VLOOKUP(J14,'Maturity Rating'!A$20:B$23,2,FALSE)</f>
        <v>3</v>
      </c>
      <c r="W14" t="str">
        <f t="shared" si="2"/>
        <v>3333</v>
      </c>
      <c r="X14" t="str">
        <f>CONCATENATE(L14,L15,L16,L17,L18,L19,L20,L21)</f>
        <v>3.63.632.52.52.72.52.5</v>
      </c>
    </row>
    <row r="15" spans="1:25">
      <c r="A15" s="74">
        <v>13.12</v>
      </c>
      <c r="B15" s="356"/>
      <c r="C15" s="358"/>
      <c r="D15" s="257" t="s">
        <v>87</v>
      </c>
      <c r="E15" s="97" t="s">
        <v>558</v>
      </c>
      <c r="F15" s="257" t="s">
        <v>105</v>
      </c>
      <c r="G15" s="263" t="s">
        <v>118</v>
      </c>
      <c r="H15" s="263" t="s">
        <v>100</v>
      </c>
      <c r="I15" s="263" t="s">
        <v>120</v>
      </c>
      <c r="J15" s="87" t="s">
        <v>129</v>
      </c>
      <c r="K15" s="271">
        <f t="shared" si="1"/>
        <v>3</v>
      </c>
      <c r="L15" s="271">
        <f>IF(AND(D15="K",K15=1),'Maturity Rating'!$E$8,IF(K15="NA",K15,IF(D15="K",K15*'Maturity Rating'!$E$7,K15)))</f>
        <v>3.5999999999999996</v>
      </c>
      <c r="M15" s="339"/>
      <c r="N15" s="339"/>
      <c r="O15" s="342"/>
      <c r="P15" s="27"/>
      <c r="Q15" s="27"/>
      <c r="S15" s="114">
        <f>VLOOKUP(G15,'Maturity Rating'!A$2:B$5,2,FALSE)</f>
        <v>3</v>
      </c>
      <c r="T15" s="114">
        <f>VLOOKUP(H15,'Maturity Rating'!A$8:B$11,2,FALSE)</f>
        <v>3</v>
      </c>
      <c r="U15" s="114">
        <f>VLOOKUP(I15,'Maturity Rating'!A$14:B$17,2,FALSE)</f>
        <v>3</v>
      </c>
      <c r="V15" s="114">
        <f>VLOOKUP(J15,'Maturity Rating'!A$20:B$23,2,FALSE)</f>
        <v>3</v>
      </c>
      <c r="W15" t="str">
        <f t="shared" si="2"/>
        <v>3333</v>
      </c>
    </row>
    <row r="16" spans="1:25" ht="43.5">
      <c r="A16" s="74">
        <v>13.13</v>
      </c>
      <c r="B16" s="356"/>
      <c r="C16" s="358"/>
      <c r="D16" s="257"/>
      <c r="E16" s="182" t="s">
        <v>559</v>
      </c>
      <c r="F16" s="257" t="s">
        <v>89</v>
      </c>
      <c r="G16" s="263" t="s">
        <v>118</v>
      </c>
      <c r="H16" s="263" t="s">
        <v>100</v>
      </c>
      <c r="I16" s="263" t="s">
        <v>120</v>
      </c>
      <c r="J16" s="87" t="s">
        <v>129</v>
      </c>
      <c r="K16" s="271">
        <f t="shared" si="1"/>
        <v>3</v>
      </c>
      <c r="L16" s="271">
        <f>IF(AND(D16="K",K16=1),'Maturity Rating'!$E$8,IF(K16="NA",K16,IF(D16="K",K16*'Maturity Rating'!$E$7,K16)))</f>
        <v>3</v>
      </c>
      <c r="M16" s="339"/>
      <c r="N16" s="339"/>
      <c r="O16" s="342"/>
      <c r="P16" s="27"/>
      <c r="Q16" s="27"/>
      <c r="S16" s="114">
        <f>VLOOKUP(G16,'Maturity Rating'!A$2:B$5,2,FALSE)</f>
        <v>3</v>
      </c>
      <c r="T16" s="114">
        <f>VLOOKUP(H16,'Maturity Rating'!A$8:B$11,2,FALSE)</f>
        <v>3</v>
      </c>
      <c r="U16" s="114">
        <f>VLOOKUP(I16,'Maturity Rating'!A$14:B$17,2,FALSE)</f>
        <v>3</v>
      </c>
      <c r="V16" s="114">
        <f>VLOOKUP(J16,'Maturity Rating'!A$20:B$23,2,FALSE)</f>
        <v>3</v>
      </c>
      <c r="W16" t="str">
        <f t="shared" si="2"/>
        <v>3333</v>
      </c>
    </row>
    <row r="17" spans="1:24" ht="29">
      <c r="A17" s="74">
        <v>13.14</v>
      </c>
      <c r="B17" s="356"/>
      <c r="C17" s="358"/>
      <c r="D17" s="257"/>
      <c r="E17" s="182" t="s">
        <v>560</v>
      </c>
      <c r="F17" s="55" t="s">
        <v>89</v>
      </c>
      <c r="G17" s="263" t="s">
        <v>118</v>
      </c>
      <c r="H17" s="99" t="s">
        <v>100</v>
      </c>
      <c r="I17" s="263" t="s">
        <v>206</v>
      </c>
      <c r="J17" s="87" t="s">
        <v>129</v>
      </c>
      <c r="K17" s="271">
        <f t="shared" si="1"/>
        <v>2.5</v>
      </c>
      <c r="L17" s="271">
        <f>IF(AND(D17="K",K17=1),'Maturity Rating'!$E$8,IF(K17="NA",K17,IF(D17="K",K17*'Maturity Rating'!$E$7,K17)))</f>
        <v>2.5</v>
      </c>
      <c r="M17" s="339"/>
      <c r="N17" s="339"/>
      <c r="O17" s="342"/>
      <c r="P17" s="27"/>
      <c r="Q17" s="27"/>
      <c r="S17" s="114">
        <f>VLOOKUP(G17,'Maturity Rating'!A$2:B$5,2,FALSE)</f>
        <v>3</v>
      </c>
      <c r="T17" s="114">
        <f>VLOOKUP(H17,'Maturity Rating'!A$8:B$11,2,FALSE)</f>
        <v>3</v>
      </c>
      <c r="U17" s="114">
        <f>VLOOKUP(I17,'Maturity Rating'!A$14:B$17,2,FALSE)</f>
        <v>1</v>
      </c>
      <c r="V17" s="114">
        <f>VLOOKUP(J17,'Maturity Rating'!A$20:B$23,2,FALSE)</f>
        <v>3</v>
      </c>
      <c r="W17" t="str">
        <f t="shared" si="2"/>
        <v>3313</v>
      </c>
    </row>
    <row r="18" spans="1:24">
      <c r="A18" s="74">
        <v>13.15</v>
      </c>
      <c r="B18" s="356"/>
      <c r="C18" s="358"/>
      <c r="D18" s="257"/>
      <c r="E18" s="182" t="s">
        <v>561</v>
      </c>
      <c r="F18" s="55" t="s">
        <v>89</v>
      </c>
      <c r="G18" s="263" t="s">
        <v>118</v>
      </c>
      <c r="H18" s="99" t="s">
        <v>100</v>
      </c>
      <c r="I18" s="263" t="s">
        <v>206</v>
      </c>
      <c r="J18" s="87" t="s">
        <v>129</v>
      </c>
      <c r="K18" s="271">
        <f t="shared" si="1"/>
        <v>2.5</v>
      </c>
      <c r="L18" s="271">
        <f>IF(AND(D18="K",K18=1),'Maturity Rating'!$E$8,IF(K18="NA",K18,IF(D18="K",K18*'Maturity Rating'!$E$7,K18)))</f>
        <v>2.5</v>
      </c>
      <c r="M18" s="339"/>
      <c r="N18" s="339"/>
      <c r="O18" s="342"/>
      <c r="P18" s="27"/>
      <c r="Q18" s="27"/>
      <c r="S18" s="114">
        <f>VLOOKUP(G18,'Maturity Rating'!A$2:B$5,2,FALSE)</f>
        <v>3</v>
      </c>
      <c r="T18" s="114">
        <f>VLOOKUP(H18,'Maturity Rating'!A$8:B$11,2,FALSE)</f>
        <v>3</v>
      </c>
      <c r="U18" s="114">
        <f>VLOOKUP(I18,'Maturity Rating'!A$14:B$17,2,FALSE)</f>
        <v>1</v>
      </c>
      <c r="V18" s="114">
        <f>VLOOKUP(J18,'Maturity Rating'!A$20:B$23,2,FALSE)</f>
        <v>3</v>
      </c>
      <c r="W18" t="str">
        <f t="shared" si="2"/>
        <v>3313</v>
      </c>
    </row>
    <row r="19" spans="1:24" ht="47.25" customHeight="1">
      <c r="A19" s="74">
        <v>13.16</v>
      </c>
      <c r="B19" s="356"/>
      <c r="C19" s="358"/>
      <c r="D19" s="257" t="s">
        <v>87</v>
      </c>
      <c r="E19" s="97" t="s">
        <v>562</v>
      </c>
      <c r="F19" s="55" t="s">
        <v>89</v>
      </c>
      <c r="G19" s="263" t="s">
        <v>118</v>
      </c>
      <c r="H19" s="263" t="s">
        <v>125</v>
      </c>
      <c r="I19" s="263" t="s">
        <v>206</v>
      </c>
      <c r="J19" s="87" t="s">
        <v>129</v>
      </c>
      <c r="K19" s="271">
        <f t="shared" si="1"/>
        <v>2.25</v>
      </c>
      <c r="L19" s="271">
        <f>IF(AND(D19="K",K19=1),'Maturity Rating'!$E$8,IF(K19="NA",K19,IF(D19="K",K19*'Maturity Rating'!$E$7,K19)))</f>
        <v>2.6999999999999997</v>
      </c>
      <c r="M19" s="339"/>
      <c r="N19" s="339"/>
      <c r="O19" s="342"/>
      <c r="P19" s="27"/>
      <c r="Q19" s="27"/>
      <c r="S19" s="114">
        <f>VLOOKUP(G19,'Maturity Rating'!A$2:B$5,2,FALSE)</f>
        <v>3</v>
      </c>
      <c r="T19" s="114">
        <f>VLOOKUP(H19,'Maturity Rating'!A$8:B$11,2,FALSE)</f>
        <v>2</v>
      </c>
      <c r="U19" s="114">
        <f>VLOOKUP(I19,'Maturity Rating'!A$14:B$17,2,FALSE)</f>
        <v>1</v>
      </c>
      <c r="V19" s="114">
        <f>VLOOKUP(J19,'Maturity Rating'!A$20:B$23,2,FALSE)</f>
        <v>3</v>
      </c>
      <c r="W19" t="str">
        <f t="shared" si="2"/>
        <v>3213</v>
      </c>
    </row>
    <row r="20" spans="1:24">
      <c r="A20" s="74">
        <v>13.17</v>
      </c>
      <c r="B20" s="356"/>
      <c r="C20" s="358"/>
      <c r="D20" s="257"/>
      <c r="E20" s="295" t="s">
        <v>563</v>
      </c>
      <c r="F20" s="55" t="s">
        <v>89</v>
      </c>
      <c r="G20" s="263" t="s">
        <v>118</v>
      </c>
      <c r="H20" s="263" t="s">
        <v>100</v>
      </c>
      <c r="I20" s="263" t="s">
        <v>206</v>
      </c>
      <c r="J20" s="87" t="s">
        <v>129</v>
      </c>
      <c r="K20" s="271">
        <f t="shared" si="1"/>
        <v>2.5</v>
      </c>
      <c r="L20" s="271">
        <f>IF(AND(D20="K",K20=1),'Maturity Rating'!$E$8,IF(K20="NA",K20,IF(D20="K",K20*'Maturity Rating'!$E$7,K20)))</f>
        <v>2.5</v>
      </c>
      <c r="M20" s="339"/>
      <c r="N20" s="339"/>
      <c r="O20" s="342"/>
      <c r="P20" s="27"/>
      <c r="Q20" s="27"/>
      <c r="S20" s="114">
        <f>VLOOKUP(G20,'Maturity Rating'!A$2:B$5,2,FALSE)</f>
        <v>3</v>
      </c>
      <c r="T20" s="114">
        <f>VLOOKUP(H20,'Maturity Rating'!A$8:B$11,2,FALSE)</f>
        <v>3</v>
      </c>
      <c r="U20" s="114">
        <f>VLOOKUP(I20,'Maturity Rating'!A$14:B$17,2,FALSE)</f>
        <v>1</v>
      </c>
      <c r="V20" s="114">
        <f>VLOOKUP(J20,'Maturity Rating'!A$20:B$23,2,FALSE)</f>
        <v>3</v>
      </c>
      <c r="W20" t="str">
        <f t="shared" si="2"/>
        <v>3313</v>
      </c>
    </row>
    <row r="21" spans="1:24" ht="44.25" customHeight="1" thickBot="1">
      <c r="A21" s="75">
        <v>13.18</v>
      </c>
      <c r="B21" s="376"/>
      <c r="C21" s="360"/>
      <c r="D21" s="259"/>
      <c r="E21" s="296" t="s">
        <v>564</v>
      </c>
      <c r="F21" s="59" t="s">
        <v>89</v>
      </c>
      <c r="G21" s="259" t="s">
        <v>118</v>
      </c>
      <c r="H21" s="259" t="s">
        <v>100</v>
      </c>
      <c r="I21" s="259" t="s">
        <v>206</v>
      </c>
      <c r="J21" s="259" t="s">
        <v>129</v>
      </c>
      <c r="K21" s="272">
        <f t="shared" si="1"/>
        <v>2.5</v>
      </c>
      <c r="L21" s="272">
        <f>IF(AND(D21="K",K21=1),'Maturity Rating'!$E$8,IF(K21="NA",K21,IF(D21="K",K21*'Maturity Rating'!$E$7,K21)))</f>
        <v>2.5</v>
      </c>
      <c r="M21" s="340"/>
      <c r="N21" s="340"/>
      <c r="O21" s="343"/>
      <c r="P21" s="27"/>
      <c r="Q21" s="27"/>
      <c r="S21" s="114">
        <f>VLOOKUP(G21,'Maturity Rating'!A$2:B$5,2,FALSE)</f>
        <v>3</v>
      </c>
      <c r="T21" s="114">
        <f>VLOOKUP(H21,'Maturity Rating'!A$8:B$11,2,FALSE)</f>
        <v>3</v>
      </c>
      <c r="U21" s="114">
        <f>VLOOKUP(I21,'Maturity Rating'!A$14:B$17,2,FALSE)</f>
        <v>1</v>
      </c>
      <c r="V21" s="114">
        <f>VLOOKUP(J21,'Maturity Rating'!A$20:B$23,2,FALSE)</f>
        <v>3</v>
      </c>
      <c r="W21" t="str">
        <f t="shared" si="2"/>
        <v>3313</v>
      </c>
    </row>
    <row r="22" spans="1:24" ht="30" customHeight="1">
      <c r="A22" s="36">
        <v>13.19</v>
      </c>
      <c r="B22" s="355" t="s">
        <v>565</v>
      </c>
      <c r="C22" s="357" t="s">
        <v>566</v>
      </c>
      <c r="D22" s="256"/>
      <c r="E22" s="181" t="s">
        <v>567</v>
      </c>
      <c r="F22" s="56" t="s">
        <v>89</v>
      </c>
      <c r="G22" s="256" t="s">
        <v>118</v>
      </c>
      <c r="H22" s="256" t="s">
        <v>100</v>
      </c>
      <c r="I22" s="264" t="s">
        <v>206</v>
      </c>
      <c r="J22" s="108" t="s">
        <v>129</v>
      </c>
      <c r="K22" s="278">
        <f t="shared" si="1"/>
        <v>2.5</v>
      </c>
      <c r="L22" s="278">
        <f>IF(AND(D22="K",K22=1),'Maturity Rating'!$E$8,IF(K22="NA",K22,IF(D22="K",K22*'Maturity Rating'!$E$7,K22)))</f>
        <v>2.5</v>
      </c>
      <c r="M22" s="338">
        <f>IF(X22="NANANANANA",K22,AVERAGE(L22:L25))</f>
        <v>2.75</v>
      </c>
      <c r="N22" s="338">
        <f>IF(M22&lt;1.1,1,IF(M22="NA",M22,(MIN(5,M22/3*5))))</f>
        <v>4.583333333333333</v>
      </c>
      <c r="O22" s="341" t="str">
        <f>IF(N22="NA",N22,VLOOKUP(Q22,'Maturity Rating'!G4:H8,2,FALSE))</f>
        <v>Repeatable</v>
      </c>
      <c r="P22" s="27"/>
      <c r="Q22" s="229">
        <f>IF(N22="NA",N22,ROUNDDOWN(N22,0))</f>
        <v>4</v>
      </c>
      <c r="S22" s="114">
        <f>VLOOKUP(G22,'Maturity Rating'!A$2:B$5,2,FALSE)</f>
        <v>3</v>
      </c>
      <c r="T22" s="114">
        <f>VLOOKUP(H22,'Maturity Rating'!A$8:B$11,2,FALSE)</f>
        <v>3</v>
      </c>
      <c r="U22" s="114">
        <f>VLOOKUP(I22,'Maturity Rating'!A$14:B$17,2,FALSE)</f>
        <v>1</v>
      </c>
      <c r="V22" s="114">
        <f>VLOOKUP(J22,'Maturity Rating'!A$20:B$23,2,FALSE)</f>
        <v>3</v>
      </c>
      <c r="W22" t="str">
        <f t="shared" si="2"/>
        <v>3313</v>
      </c>
      <c r="X22" t="str">
        <f>CONCATENATE(L22,L23,L24,L25)</f>
        <v>2.5332.5</v>
      </c>
    </row>
    <row r="23" spans="1:24" ht="30" customHeight="1">
      <c r="A23" s="74" t="s">
        <v>568</v>
      </c>
      <c r="B23" s="356"/>
      <c r="C23" s="358"/>
      <c r="D23" s="257" t="s">
        <v>87</v>
      </c>
      <c r="E23" s="53" t="s">
        <v>569</v>
      </c>
      <c r="F23" s="55" t="s">
        <v>89</v>
      </c>
      <c r="G23" s="263" t="s">
        <v>118</v>
      </c>
      <c r="H23" s="263" t="s">
        <v>100</v>
      </c>
      <c r="I23" s="258" t="s">
        <v>206</v>
      </c>
      <c r="J23" s="87" t="s">
        <v>129</v>
      </c>
      <c r="K23" s="271">
        <f t="shared" si="1"/>
        <v>2.5</v>
      </c>
      <c r="L23" s="271">
        <f>IF(AND(D23="K",K23=1),'Maturity Rating'!$E$8,IF(K23="NA",K23,IF(D23="K",K23*'Maturity Rating'!$E$7,K23)))</f>
        <v>3</v>
      </c>
      <c r="M23" s="339"/>
      <c r="N23" s="339"/>
      <c r="O23" s="342"/>
      <c r="P23" s="27"/>
      <c r="Q23" s="27"/>
      <c r="S23" s="114">
        <f>VLOOKUP(G23,'Maturity Rating'!A$2:B$5,2,FALSE)</f>
        <v>3</v>
      </c>
      <c r="T23" s="114">
        <f>VLOOKUP(H23,'Maturity Rating'!A$8:B$11,2,FALSE)</f>
        <v>3</v>
      </c>
      <c r="U23" s="114">
        <f>VLOOKUP(I23,'Maturity Rating'!A$14:B$17,2,FALSE)</f>
        <v>1</v>
      </c>
      <c r="V23" s="114">
        <f>VLOOKUP(J23,'Maturity Rating'!A$20:B$23,2,FALSE)</f>
        <v>3</v>
      </c>
      <c r="W23" t="str">
        <f t="shared" si="2"/>
        <v>3313</v>
      </c>
    </row>
    <row r="24" spans="1:24">
      <c r="A24" s="74">
        <v>13.21</v>
      </c>
      <c r="B24" s="356"/>
      <c r="C24" s="358"/>
      <c r="D24" s="257" t="s">
        <v>87</v>
      </c>
      <c r="E24" s="97" t="s">
        <v>570</v>
      </c>
      <c r="F24" s="55" t="s">
        <v>89</v>
      </c>
      <c r="G24" s="263" t="s">
        <v>118</v>
      </c>
      <c r="H24" s="263" t="s">
        <v>100</v>
      </c>
      <c r="I24" s="258" t="s">
        <v>206</v>
      </c>
      <c r="J24" s="87" t="s">
        <v>129</v>
      </c>
      <c r="K24" s="271">
        <f t="shared" si="1"/>
        <v>2.5</v>
      </c>
      <c r="L24" s="271">
        <f>IF(AND(D24="K",K24=1),'Maturity Rating'!$E$8,IF(K24="NA",K24,IF(D24="K",K24*'Maturity Rating'!$E$7,K24)))</f>
        <v>3</v>
      </c>
      <c r="M24" s="339"/>
      <c r="N24" s="339"/>
      <c r="O24" s="342"/>
      <c r="P24" s="27"/>
      <c r="Q24" s="27"/>
      <c r="S24" s="114">
        <f>VLOOKUP(G24,'Maturity Rating'!A$2:B$5,2,FALSE)</f>
        <v>3</v>
      </c>
      <c r="T24" s="114">
        <f>VLOOKUP(H24,'Maturity Rating'!A$8:B$11,2,FALSE)</f>
        <v>3</v>
      </c>
      <c r="U24" s="114">
        <f>VLOOKUP(I24,'Maturity Rating'!A$14:B$17,2,FALSE)</f>
        <v>1</v>
      </c>
      <c r="V24" s="114">
        <f>VLOOKUP(J24,'Maturity Rating'!A$20:B$23,2,FALSE)</f>
        <v>3</v>
      </c>
      <c r="W24" t="str">
        <f t="shared" si="2"/>
        <v>3313</v>
      </c>
    </row>
    <row r="25" spans="1:24" ht="29.5" thickBot="1">
      <c r="A25" s="75">
        <v>13.22</v>
      </c>
      <c r="B25" s="376"/>
      <c r="C25" s="360"/>
      <c r="D25" s="259"/>
      <c r="E25" s="183" t="s">
        <v>571</v>
      </c>
      <c r="F25" s="259" t="s">
        <v>105</v>
      </c>
      <c r="G25" s="259" t="s">
        <v>118</v>
      </c>
      <c r="H25" s="259" t="s">
        <v>100</v>
      </c>
      <c r="I25" s="259" t="s">
        <v>206</v>
      </c>
      <c r="J25" s="161" t="s">
        <v>129</v>
      </c>
      <c r="K25" s="272">
        <f t="shared" si="1"/>
        <v>2.5</v>
      </c>
      <c r="L25" s="272">
        <f>IF(AND(D25="K",K25=1),'Maturity Rating'!$E$8,IF(K25="NA",K25,IF(D25="K",K25*'Maturity Rating'!$E$7,K25)))</f>
        <v>2.5</v>
      </c>
      <c r="M25" s="340"/>
      <c r="N25" s="340"/>
      <c r="O25" s="343"/>
      <c r="P25" s="27"/>
      <c r="Q25" s="27"/>
      <c r="S25" s="114">
        <f>VLOOKUP(G25,'Maturity Rating'!A$2:B$5,2,FALSE)</f>
        <v>3</v>
      </c>
      <c r="T25" s="114">
        <f>VLOOKUP(H25,'Maturity Rating'!A$8:B$11,2,FALSE)</f>
        <v>3</v>
      </c>
      <c r="U25" s="114">
        <f>VLOOKUP(I25,'Maturity Rating'!A$14:B$17,2,FALSE)</f>
        <v>1</v>
      </c>
      <c r="V25" s="114">
        <f>VLOOKUP(J25,'Maturity Rating'!A$20:B$23,2,FALSE)</f>
        <v>3</v>
      </c>
      <c r="W25" t="str">
        <f t="shared" si="2"/>
        <v>3313</v>
      </c>
    </row>
    <row r="26" spans="1:24" ht="45" customHeight="1">
      <c r="A26" s="36">
        <v>13.23</v>
      </c>
      <c r="B26" s="359" t="s">
        <v>572</v>
      </c>
      <c r="C26" s="368" t="s">
        <v>573</v>
      </c>
      <c r="D26" s="256"/>
      <c r="E26" s="181" t="s">
        <v>574</v>
      </c>
      <c r="F26" s="256" t="s">
        <v>89</v>
      </c>
      <c r="G26" s="256" t="s">
        <v>118</v>
      </c>
      <c r="H26" s="256" t="s">
        <v>100</v>
      </c>
      <c r="I26" s="256" t="s">
        <v>91</v>
      </c>
      <c r="J26" s="256" t="s">
        <v>129</v>
      </c>
      <c r="K26" s="278">
        <f t="shared" si="1"/>
        <v>3</v>
      </c>
      <c r="L26" s="278">
        <f>IF(AND(D26="K",K26=1),'Maturity Rating'!$E$8,IF(K26="NA",K26,IF(D26="K",K26*'Maturity Rating'!$E$7,K26)))</f>
        <v>3</v>
      </c>
      <c r="M26" s="381">
        <f>IF(X26="NANANANANANANA",K26,AVERAGE(L26:L32))</f>
        <v>2.7142857142857144</v>
      </c>
      <c r="N26" s="381">
        <f>IF(M26&lt;1.1,1,IF(M26="NA",M26,(MIN(5,M26/3*5))))</f>
        <v>4.5238095238095237</v>
      </c>
      <c r="O26" s="341" t="str">
        <f>IF(N26="NA",N26,VLOOKUP(Q26,'Maturity Rating'!G4:H8,2,FALSE))</f>
        <v>Repeatable</v>
      </c>
      <c r="P26" s="27"/>
      <c r="Q26" s="229">
        <f>IF(N26="NA",N26,ROUNDDOWN(N26,0))</f>
        <v>4</v>
      </c>
      <c r="S26" s="114">
        <f>VLOOKUP(G26,'Maturity Rating'!A$2:B$5,2,FALSE)</f>
        <v>3</v>
      </c>
      <c r="T26" s="114">
        <f>VLOOKUP(H26,'Maturity Rating'!A$8:B$11,2,FALSE)</f>
        <v>3</v>
      </c>
      <c r="U26" s="114" t="str">
        <f>VLOOKUP(I26,'Maturity Rating'!A$14:B$17,2,FALSE)</f>
        <v>NA</v>
      </c>
      <c r="V26" s="114">
        <f>VLOOKUP(J26,'Maturity Rating'!A$20:B$23,2,FALSE)</f>
        <v>3</v>
      </c>
      <c r="W26" t="str">
        <f t="shared" si="2"/>
        <v>33NA3</v>
      </c>
      <c r="X26" t="str">
        <f>CONCATENATE(L26,L27,L28,L29,L30,L31,L32)</f>
        <v>3133333</v>
      </c>
    </row>
    <row r="27" spans="1:24" ht="29">
      <c r="A27" s="74">
        <v>13.24</v>
      </c>
      <c r="B27" s="345"/>
      <c r="C27" s="365"/>
      <c r="D27" s="266"/>
      <c r="E27" s="182" t="s">
        <v>575</v>
      </c>
      <c r="F27" s="55" t="s">
        <v>89</v>
      </c>
      <c r="G27" s="257" t="s">
        <v>127</v>
      </c>
      <c r="H27" s="257" t="s">
        <v>91</v>
      </c>
      <c r="I27" s="257" t="s">
        <v>91</v>
      </c>
      <c r="J27" s="257" t="s">
        <v>91</v>
      </c>
      <c r="K27" s="273">
        <f t="shared" si="1"/>
        <v>1</v>
      </c>
      <c r="L27" s="273">
        <f>IF(AND(D27="K",K27=1),'Maturity Rating'!$E$8,IF(K27="NA",K27,IF(D27="K",K27*'Maturity Rating'!$E$7,K27)))</f>
        <v>1</v>
      </c>
      <c r="M27" s="374"/>
      <c r="N27" s="374"/>
      <c r="O27" s="342"/>
      <c r="P27" s="27"/>
      <c r="Q27" s="27"/>
      <c r="S27" s="114">
        <f>VLOOKUP(G27,'Maturity Rating'!A$2:B$5,2,FALSE)</f>
        <v>1</v>
      </c>
      <c r="T27" s="114" t="str">
        <f>VLOOKUP(H27,'Maturity Rating'!A$8:B$11,2,FALSE)</f>
        <v>NA</v>
      </c>
      <c r="U27" s="114" t="str">
        <f>VLOOKUP(I27,'Maturity Rating'!A$14:B$17,2,FALSE)</f>
        <v>NA</v>
      </c>
      <c r="V27" s="114" t="str">
        <f>VLOOKUP(J27,'Maturity Rating'!A$20:B$23,2,FALSE)</f>
        <v>NA</v>
      </c>
      <c r="W27" t="str">
        <f t="shared" si="2"/>
        <v>1NANANA</v>
      </c>
    </row>
    <row r="28" spans="1:24" ht="29">
      <c r="A28" s="74">
        <v>13.25</v>
      </c>
      <c r="B28" s="345"/>
      <c r="C28" s="365"/>
      <c r="D28" s="266"/>
      <c r="E28" s="182" t="s">
        <v>576</v>
      </c>
      <c r="F28" s="55" t="s">
        <v>89</v>
      </c>
      <c r="G28" s="257" t="s">
        <v>118</v>
      </c>
      <c r="H28" s="257" t="s">
        <v>100</v>
      </c>
      <c r="I28" s="257" t="s">
        <v>91</v>
      </c>
      <c r="J28" s="257" t="s">
        <v>129</v>
      </c>
      <c r="K28" s="273">
        <f t="shared" si="1"/>
        <v>3</v>
      </c>
      <c r="L28" s="273">
        <f>IF(AND(D28="K",K28=1),'Maturity Rating'!$E$8,IF(K28="NA",K28,IF(D28="K",K28*'Maturity Rating'!$E$7,K28)))</f>
        <v>3</v>
      </c>
      <c r="M28" s="374"/>
      <c r="N28" s="374"/>
      <c r="O28" s="342"/>
      <c r="P28" s="27"/>
      <c r="Q28" s="27"/>
      <c r="S28" s="114">
        <f>VLOOKUP(G28,'Maturity Rating'!A$2:B$5,2,FALSE)</f>
        <v>3</v>
      </c>
      <c r="T28" s="114">
        <f>VLOOKUP(H28,'Maturity Rating'!A$8:B$11,2,FALSE)</f>
        <v>3</v>
      </c>
      <c r="U28" s="114" t="str">
        <f>VLOOKUP(I28,'Maturity Rating'!A$14:B$17,2,FALSE)</f>
        <v>NA</v>
      </c>
      <c r="V28" s="114">
        <f>VLOOKUP(J28,'Maturity Rating'!A$20:B$23,2,FALSE)</f>
        <v>3</v>
      </c>
      <c r="W28" t="str">
        <f t="shared" si="2"/>
        <v>33NA3</v>
      </c>
    </row>
    <row r="29" spans="1:24">
      <c r="A29" s="74">
        <v>13.26</v>
      </c>
      <c r="B29" s="345"/>
      <c r="C29" s="365"/>
      <c r="D29" s="257"/>
      <c r="E29" s="182" t="s">
        <v>577</v>
      </c>
      <c r="F29" s="257" t="s">
        <v>105</v>
      </c>
      <c r="G29" s="257" t="s">
        <v>118</v>
      </c>
      <c r="H29" s="257" t="s">
        <v>100</v>
      </c>
      <c r="I29" s="257" t="s">
        <v>91</v>
      </c>
      <c r="J29" s="257" t="s">
        <v>129</v>
      </c>
      <c r="K29" s="273">
        <f t="shared" si="1"/>
        <v>3</v>
      </c>
      <c r="L29" s="273">
        <f>IF(AND(D29="K",K29=1),'Maturity Rating'!$E$8,IF(K29="NA",K29,IF(D29="K",K29*'Maturity Rating'!$E$7,K29)))</f>
        <v>3</v>
      </c>
      <c r="M29" s="374"/>
      <c r="N29" s="374"/>
      <c r="O29" s="342"/>
      <c r="P29" s="27"/>
      <c r="Q29" s="27"/>
      <c r="S29" s="114">
        <f>VLOOKUP(G29,'Maturity Rating'!A$2:B$5,2,FALSE)</f>
        <v>3</v>
      </c>
      <c r="T29" s="114">
        <f>VLOOKUP(H29,'Maturity Rating'!A$8:B$11,2,FALSE)</f>
        <v>3</v>
      </c>
      <c r="U29" s="114" t="str">
        <f>VLOOKUP(I29,'Maturity Rating'!A$14:B$17,2,FALSE)</f>
        <v>NA</v>
      </c>
      <c r="V29" s="114">
        <f>VLOOKUP(J29,'Maturity Rating'!A$20:B$23,2,FALSE)</f>
        <v>3</v>
      </c>
      <c r="W29" t="str">
        <f t="shared" si="2"/>
        <v>33NA3</v>
      </c>
    </row>
    <row r="30" spans="1:24" ht="29">
      <c r="A30" s="74">
        <v>13.27</v>
      </c>
      <c r="B30" s="345"/>
      <c r="C30" s="365"/>
      <c r="D30" s="266"/>
      <c r="E30" s="182" t="s">
        <v>578</v>
      </c>
      <c r="F30" s="55" t="s">
        <v>105</v>
      </c>
      <c r="G30" s="257" t="s">
        <v>118</v>
      </c>
      <c r="H30" s="257" t="s">
        <v>100</v>
      </c>
      <c r="I30" s="257" t="s">
        <v>120</v>
      </c>
      <c r="J30" s="257" t="s">
        <v>129</v>
      </c>
      <c r="K30" s="273">
        <f t="shared" si="1"/>
        <v>3</v>
      </c>
      <c r="L30" s="273">
        <f>IF(AND(D30="K",K30=1),'Maturity Rating'!$E$8,IF(K30="NA",K30,IF(D30="K",K30*'Maturity Rating'!$E$7,K30)))</f>
        <v>3</v>
      </c>
      <c r="M30" s="374"/>
      <c r="N30" s="374"/>
      <c r="O30" s="342"/>
      <c r="P30" s="27"/>
      <c r="Q30" s="27"/>
      <c r="S30" s="114">
        <f>VLOOKUP(G30,'Maturity Rating'!A$2:B$5,2,FALSE)</f>
        <v>3</v>
      </c>
      <c r="T30" s="114">
        <f>VLOOKUP(H30,'Maturity Rating'!A$8:B$11,2,FALSE)</f>
        <v>3</v>
      </c>
      <c r="U30" s="114">
        <f>VLOOKUP(I30,'Maturity Rating'!A$14:B$17,2,FALSE)</f>
        <v>3</v>
      </c>
      <c r="V30" s="114">
        <f>VLOOKUP(J30,'Maturity Rating'!A$20:B$23,2,FALSE)</f>
        <v>3</v>
      </c>
      <c r="W30" t="str">
        <f t="shared" si="2"/>
        <v>3333</v>
      </c>
    </row>
    <row r="31" spans="1:24" ht="29">
      <c r="A31" s="74">
        <v>13.28</v>
      </c>
      <c r="B31" s="345"/>
      <c r="C31" s="365"/>
      <c r="D31" s="266"/>
      <c r="E31" s="182" t="s">
        <v>579</v>
      </c>
      <c r="F31" s="55" t="s">
        <v>105</v>
      </c>
      <c r="G31" s="257" t="s">
        <v>118</v>
      </c>
      <c r="H31" s="257" t="s">
        <v>100</v>
      </c>
      <c r="I31" s="257" t="s">
        <v>120</v>
      </c>
      <c r="J31" s="257" t="s">
        <v>129</v>
      </c>
      <c r="K31" s="273">
        <f t="shared" si="1"/>
        <v>3</v>
      </c>
      <c r="L31" s="273">
        <f>IF(AND(D31="K",K31=1),'Maturity Rating'!$E$8,IF(K31="NA",K31,IF(D31="K",K31*'Maturity Rating'!$E$7,K31)))</f>
        <v>3</v>
      </c>
      <c r="M31" s="374"/>
      <c r="N31" s="374"/>
      <c r="O31" s="342"/>
      <c r="P31" s="27"/>
      <c r="Q31" s="27"/>
      <c r="S31" s="114">
        <f>VLOOKUP(G31,'Maturity Rating'!A$2:B$5,2,FALSE)</f>
        <v>3</v>
      </c>
      <c r="T31" s="114">
        <f>VLOOKUP(H31,'Maturity Rating'!A$8:B$11,2,FALSE)</f>
        <v>3</v>
      </c>
      <c r="U31" s="114">
        <f>VLOOKUP(I31,'Maturity Rating'!A$14:B$17,2,FALSE)</f>
        <v>3</v>
      </c>
      <c r="V31" s="114">
        <f>VLOOKUP(J31,'Maturity Rating'!A$20:B$23,2,FALSE)</f>
        <v>3</v>
      </c>
      <c r="W31" t="str">
        <f t="shared" si="2"/>
        <v>3333</v>
      </c>
    </row>
    <row r="32" spans="1:24" ht="29.5" thickBot="1">
      <c r="A32" s="75">
        <v>13.29</v>
      </c>
      <c r="B32" s="347"/>
      <c r="C32" s="367"/>
      <c r="D32" s="268"/>
      <c r="E32" s="183" t="s">
        <v>580</v>
      </c>
      <c r="F32" s="59" t="s">
        <v>89</v>
      </c>
      <c r="G32" s="259" t="s">
        <v>118</v>
      </c>
      <c r="H32" s="259" t="s">
        <v>100</v>
      </c>
      <c r="I32" s="259" t="s">
        <v>120</v>
      </c>
      <c r="J32" s="259" t="s">
        <v>129</v>
      </c>
      <c r="K32" s="272">
        <f>IF(W32="NANANANA",S32,IF(AND(OR(G32="Formally Documented",G32="Informally Documented"),H32="Not Implemented"),0.5*AVERAGE(S32:V32),AVERAGE(S32:V32)))</f>
        <v>3</v>
      </c>
      <c r="L32" s="272">
        <f>IF(AND(D32="K",K32=1),'Maturity Rating'!$E$8,IF(K32="NA",K32,IF(D32="K",K32*'Maturity Rating'!$E$7,K32)))</f>
        <v>3</v>
      </c>
      <c r="M32" s="372"/>
      <c r="N32" s="372"/>
      <c r="O32" s="343"/>
      <c r="P32" s="27"/>
      <c r="Q32" s="27"/>
      <c r="S32" s="114">
        <f>VLOOKUP(G32,'Maturity Rating'!A$2:B$5,2,FALSE)</f>
        <v>3</v>
      </c>
      <c r="T32" s="114">
        <f>VLOOKUP(H32,'Maturity Rating'!A$8:B$11,2,FALSE)</f>
        <v>3</v>
      </c>
      <c r="U32" s="114">
        <f>VLOOKUP(I32,'Maturity Rating'!A$14:B$17,2,FALSE)</f>
        <v>3</v>
      </c>
      <c r="V32" s="114">
        <f>VLOOKUP(J32,'Maturity Rating'!A$20:B$23,2,FALSE)</f>
        <v>3</v>
      </c>
      <c r="W32" t="str">
        <f t="shared" si="2"/>
        <v>3333</v>
      </c>
    </row>
    <row r="33" spans="1:24" ht="43.5" customHeight="1">
      <c r="A33" s="36" t="s">
        <v>581</v>
      </c>
      <c r="B33" s="355" t="s">
        <v>582</v>
      </c>
      <c r="C33" s="357" t="s">
        <v>583</v>
      </c>
      <c r="D33" s="256" t="s">
        <v>87</v>
      </c>
      <c r="E33" s="297" t="s">
        <v>584</v>
      </c>
      <c r="F33" s="256" t="s">
        <v>105</v>
      </c>
      <c r="G33" s="256" t="s">
        <v>118</v>
      </c>
      <c r="H33" s="256" t="s">
        <v>100</v>
      </c>
      <c r="I33" s="256" t="s">
        <v>120</v>
      </c>
      <c r="J33" s="108" t="s">
        <v>129</v>
      </c>
      <c r="K33" s="278">
        <f t="shared" si="1"/>
        <v>3</v>
      </c>
      <c r="L33" s="278">
        <f>IF(AND(D33="K",K33=1),'Maturity Rating'!$E$8,IF(K33="NA",K33,IF(D33="K",K33*'Maturity Rating'!$E$7,K33)))</f>
        <v>3.5999999999999996</v>
      </c>
      <c r="M33" s="338">
        <f>IF(X33="NANANANANANANA",K33,AVERAGE(L33:L38))</f>
        <v>1.7666666666666666</v>
      </c>
      <c r="N33" s="338">
        <f>IF(M33&lt;1.1,1,IF(M33="NA",M33,(MIN(5,M33/3*5))))</f>
        <v>2.9444444444444446</v>
      </c>
      <c r="O33" s="341" t="str">
        <f>IF(N33="NA",N33,VLOOKUP(Q33,'Maturity Rating'!G4:H8,2,FALSE))</f>
        <v>Partial</v>
      </c>
      <c r="P33" s="27"/>
      <c r="Q33" s="229">
        <f>IF(N33="NA",N33,ROUNDDOWN(N33,0))</f>
        <v>2</v>
      </c>
      <c r="S33" s="114">
        <f>VLOOKUP(G33,'Maturity Rating'!A$2:B$5,2,FALSE)</f>
        <v>3</v>
      </c>
      <c r="T33" s="114">
        <f>VLOOKUP(H33,'Maturity Rating'!A$8:B$11,2,FALSE)</f>
        <v>3</v>
      </c>
      <c r="U33" s="114">
        <f>VLOOKUP(I33,'Maturity Rating'!A$14:B$17,2,FALSE)</f>
        <v>3</v>
      </c>
      <c r="V33" s="114">
        <f>VLOOKUP(J33,'Maturity Rating'!A$20:B$23,2,FALSE)</f>
        <v>3</v>
      </c>
      <c r="W33" t="str">
        <f t="shared" si="2"/>
        <v>3333</v>
      </c>
      <c r="X33" t="str">
        <f>CONCATENATE(L33,L34,L35,L36,L37,L38)</f>
        <v>3.611.52.511</v>
      </c>
    </row>
    <row r="34" spans="1:24" ht="45" customHeight="1">
      <c r="A34" s="74">
        <v>13.31</v>
      </c>
      <c r="B34" s="356"/>
      <c r="C34" s="358"/>
      <c r="D34" s="266"/>
      <c r="E34" s="295" t="s">
        <v>585</v>
      </c>
      <c r="F34" s="55" t="s">
        <v>105</v>
      </c>
      <c r="G34" s="263" t="s">
        <v>118</v>
      </c>
      <c r="H34" s="263" t="s">
        <v>95</v>
      </c>
      <c r="I34" s="263" t="s">
        <v>120</v>
      </c>
      <c r="J34" s="257" t="s">
        <v>102</v>
      </c>
      <c r="K34" s="271">
        <f t="shared" si="1"/>
        <v>1</v>
      </c>
      <c r="L34" s="271">
        <f>IF(AND(D34="K",K34=1),'Maturity Rating'!$E$8,IF(K34="NA",K34,IF(D34="K",K34*'Maturity Rating'!$E$7,K34)))</f>
        <v>1</v>
      </c>
      <c r="M34" s="339"/>
      <c r="N34" s="339"/>
      <c r="O34" s="342"/>
      <c r="P34" s="27"/>
      <c r="Q34" s="27"/>
      <c r="S34" s="114">
        <f>VLOOKUP(G34,'Maturity Rating'!A$2:B$5,2,FALSE)</f>
        <v>3</v>
      </c>
      <c r="T34" s="114">
        <f>VLOOKUP(H34,'Maturity Rating'!A$8:B$11,2,FALSE)</f>
        <v>1</v>
      </c>
      <c r="U34" s="114">
        <f>VLOOKUP(I34,'Maturity Rating'!A$14:B$17,2,FALSE)</f>
        <v>3</v>
      </c>
      <c r="V34" s="114">
        <f>VLOOKUP(J34,'Maturity Rating'!A$20:B$23,2,FALSE)</f>
        <v>1</v>
      </c>
      <c r="W34" t="str">
        <f t="shared" si="2"/>
        <v>3131</v>
      </c>
    </row>
    <row r="35" spans="1:24" ht="45" customHeight="1">
      <c r="A35" s="74">
        <v>13.32</v>
      </c>
      <c r="B35" s="356"/>
      <c r="C35" s="358"/>
      <c r="D35" s="266"/>
      <c r="E35" s="295" t="s">
        <v>586</v>
      </c>
      <c r="F35" s="55" t="s">
        <v>105</v>
      </c>
      <c r="G35" s="263" t="s">
        <v>90</v>
      </c>
      <c r="H35" s="263" t="s">
        <v>125</v>
      </c>
      <c r="I35" s="263" t="s">
        <v>206</v>
      </c>
      <c r="J35" s="257" t="s">
        <v>102</v>
      </c>
      <c r="K35" s="271">
        <f t="shared" ref="K35" si="4">IF(W35="NANANANA",S35,IF(AND(OR(G35="Formally Documented",G35="Informally Documented"),H35="Not Implemented"),0.5*AVERAGE(S35:V35),AVERAGE(S35:V35)))</f>
        <v>1.5</v>
      </c>
      <c r="L35" s="271">
        <f>IF(AND(D35="K",K35=1),'Maturity Rating'!$E$8,IF(K35="NA",K35,IF(D35="K",K35*'Maturity Rating'!$E$7,K35)))</f>
        <v>1.5</v>
      </c>
      <c r="M35" s="339"/>
      <c r="N35" s="339"/>
      <c r="O35" s="342"/>
      <c r="P35" s="27"/>
      <c r="Q35" s="27"/>
      <c r="S35" s="114">
        <f>VLOOKUP(G35,'Maturity Rating'!A$2:B$5,2,FALSE)</f>
        <v>2</v>
      </c>
      <c r="T35" s="114">
        <f>VLOOKUP(H35,'Maturity Rating'!A$8:B$11,2,FALSE)</f>
        <v>2</v>
      </c>
      <c r="U35" s="114">
        <f>VLOOKUP(I35,'Maturity Rating'!A$14:B$17,2,FALSE)</f>
        <v>1</v>
      </c>
      <c r="V35" s="114">
        <f>VLOOKUP(J35,'Maturity Rating'!A$20:B$23,2,FALSE)</f>
        <v>1</v>
      </c>
      <c r="W35" t="str">
        <f t="shared" ref="W35" si="5">CONCATENATE(S35,T35,U35,V35)</f>
        <v>2211</v>
      </c>
    </row>
    <row r="36" spans="1:24" ht="29">
      <c r="A36" s="74">
        <v>13.33</v>
      </c>
      <c r="B36" s="356"/>
      <c r="C36" s="358"/>
      <c r="D36" s="266"/>
      <c r="E36" s="295" t="s">
        <v>587</v>
      </c>
      <c r="F36" s="55" t="s">
        <v>89</v>
      </c>
      <c r="G36" s="263" t="s">
        <v>118</v>
      </c>
      <c r="H36" s="99" t="s">
        <v>100</v>
      </c>
      <c r="I36" s="263" t="s">
        <v>120</v>
      </c>
      <c r="J36" s="257" t="s">
        <v>102</v>
      </c>
      <c r="K36" s="271">
        <f t="shared" si="1"/>
        <v>2.5</v>
      </c>
      <c r="L36" s="271">
        <f>IF(AND(D36="K",K36=1),'Maturity Rating'!$E$8,IF(K36="NA",K36,IF(D36="K",K36*'Maturity Rating'!$E$7,K36)))</f>
        <v>2.5</v>
      </c>
      <c r="M36" s="339"/>
      <c r="N36" s="339"/>
      <c r="O36" s="342"/>
      <c r="P36" s="27"/>
      <c r="Q36" s="27"/>
      <c r="S36" s="114">
        <f>VLOOKUP(G36,'Maturity Rating'!A$2:B$5,2,FALSE)</f>
        <v>3</v>
      </c>
      <c r="T36" s="114">
        <f>VLOOKUP(H36,'Maturity Rating'!A$8:B$11,2,FALSE)</f>
        <v>3</v>
      </c>
      <c r="U36" s="114">
        <f>VLOOKUP(I36,'Maturity Rating'!A$14:B$17,2,FALSE)</f>
        <v>3</v>
      </c>
      <c r="V36" s="114">
        <f>VLOOKUP(J36,'Maturity Rating'!A$20:B$23,2,FALSE)</f>
        <v>1</v>
      </c>
      <c r="W36" t="str">
        <f t="shared" si="2"/>
        <v>3331</v>
      </c>
    </row>
    <row r="37" spans="1:24" ht="29">
      <c r="A37" s="74">
        <v>13.34</v>
      </c>
      <c r="B37" s="356"/>
      <c r="C37" s="358"/>
      <c r="D37" s="266"/>
      <c r="E37" s="295" t="s">
        <v>588</v>
      </c>
      <c r="F37" s="55" t="s">
        <v>89</v>
      </c>
      <c r="G37" s="263" t="s">
        <v>127</v>
      </c>
      <c r="H37" s="99" t="s">
        <v>95</v>
      </c>
      <c r="I37" s="263" t="s">
        <v>206</v>
      </c>
      <c r="J37" s="257" t="s">
        <v>102</v>
      </c>
      <c r="K37" s="271">
        <f t="shared" ref="K37" si="6">IF(W37="NANANANA",S37,IF(AND(OR(G37="Formally Documented",G37="Informally Documented"),H37="Not Implemented"),0.5*AVERAGE(S37:V37),AVERAGE(S37:V37)))</f>
        <v>1</v>
      </c>
      <c r="L37" s="271">
        <f>IF(AND(D37="K",K37=1),'Maturity Rating'!$E$8,IF(K37="NA",K37,IF(D37="K",K37*'Maturity Rating'!$E$7,K37)))</f>
        <v>1</v>
      </c>
      <c r="M37" s="339"/>
      <c r="N37" s="339"/>
      <c r="O37" s="342"/>
      <c r="P37" s="27"/>
      <c r="Q37" s="27"/>
      <c r="S37" s="114">
        <f>VLOOKUP(G37,'Maturity Rating'!A$2:B$5,2,FALSE)</f>
        <v>1</v>
      </c>
      <c r="T37" s="114">
        <f>VLOOKUP(H37,'Maturity Rating'!A$8:B$11,2,FALSE)</f>
        <v>1</v>
      </c>
      <c r="U37" s="114">
        <f>VLOOKUP(I37,'Maturity Rating'!A$14:B$17,2,FALSE)</f>
        <v>1</v>
      </c>
      <c r="V37" s="114">
        <f>VLOOKUP(J37,'Maturity Rating'!A$20:B$23,2,FALSE)</f>
        <v>1</v>
      </c>
      <c r="W37" t="str">
        <f t="shared" ref="W37" si="7">CONCATENATE(S37,T37,U37,V37)</f>
        <v>1111</v>
      </c>
    </row>
    <row r="38" spans="1:24" ht="29.5" thickBot="1">
      <c r="A38" s="75">
        <v>13.35</v>
      </c>
      <c r="B38" s="376"/>
      <c r="C38" s="360"/>
      <c r="D38" s="259"/>
      <c r="E38" s="296" t="s">
        <v>589</v>
      </c>
      <c r="F38" s="259" t="s">
        <v>89</v>
      </c>
      <c r="G38" s="259" t="s">
        <v>127</v>
      </c>
      <c r="H38" s="259" t="s">
        <v>95</v>
      </c>
      <c r="I38" s="259" t="s">
        <v>206</v>
      </c>
      <c r="J38" s="259" t="s">
        <v>102</v>
      </c>
      <c r="K38" s="272">
        <f t="shared" si="1"/>
        <v>1</v>
      </c>
      <c r="L38" s="272">
        <f>IF(AND(D38="K",K38=1),'Maturity Rating'!$E$8,IF(K38="NA",K38,IF(D38="K",K38*'Maturity Rating'!$E$7,K38)))</f>
        <v>1</v>
      </c>
      <c r="M38" s="340"/>
      <c r="N38" s="340"/>
      <c r="O38" s="343"/>
      <c r="P38" s="27"/>
      <c r="Q38" s="27"/>
      <c r="S38" s="114">
        <f>VLOOKUP(G38,'Maturity Rating'!A$2:B$5,2,FALSE)</f>
        <v>1</v>
      </c>
      <c r="T38" s="114">
        <f>VLOOKUP(H38,'Maturity Rating'!A$8:B$11,2,FALSE)</f>
        <v>1</v>
      </c>
      <c r="U38" s="114">
        <f>VLOOKUP(I38,'Maturity Rating'!A$14:B$17,2,FALSE)</f>
        <v>1</v>
      </c>
      <c r="V38" s="114">
        <f>VLOOKUP(J38,'Maturity Rating'!A$20:B$23,2,FALSE)</f>
        <v>1</v>
      </c>
      <c r="W38" t="str">
        <f t="shared" si="2"/>
        <v>1111</v>
      </c>
    </row>
    <row r="39" spans="1:24" ht="52.5" customHeight="1">
      <c r="A39" s="36">
        <v>13.36</v>
      </c>
      <c r="B39" s="355" t="s">
        <v>590</v>
      </c>
      <c r="C39" s="357" t="s">
        <v>591</v>
      </c>
      <c r="D39" s="256" t="s">
        <v>87</v>
      </c>
      <c r="E39" s="54" t="s">
        <v>592</v>
      </c>
      <c r="F39" s="256" t="s">
        <v>89</v>
      </c>
      <c r="G39" s="256" t="s">
        <v>118</v>
      </c>
      <c r="H39" s="256" t="s">
        <v>100</v>
      </c>
      <c r="I39" s="256" t="s">
        <v>120</v>
      </c>
      <c r="J39" s="108" t="s">
        <v>129</v>
      </c>
      <c r="K39" s="278">
        <f t="shared" si="1"/>
        <v>3</v>
      </c>
      <c r="L39" s="278">
        <f>IF(AND(D39="K",K39=1),'Maturity Rating'!$E$8,IF(K39="NA",K39,IF(D39="K",K39*'Maturity Rating'!$E$7,K39)))</f>
        <v>3.5999999999999996</v>
      </c>
      <c r="M39" s="338">
        <f>IF(X39="NANANANANANANANANANA",K39,AVERAGE(L39:L48))</f>
        <v>1.8725000000000001</v>
      </c>
      <c r="N39" s="338">
        <f>IF(M39&lt;1.1,1,IF(M39="NA",M39,(MIN(5,M39/3*5))))</f>
        <v>3.1208333333333331</v>
      </c>
      <c r="O39" s="341" t="str">
        <f>IF(N39="NA",N39,VLOOKUP(Q39,'Maturity Rating'!G4:H8,2,FALSE))</f>
        <v>Defined</v>
      </c>
      <c r="P39" s="27"/>
      <c r="Q39" s="229">
        <f>IF(N39="NA",N39,ROUNDDOWN(N39,0))</f>
        <v>3</v>
      </c>
      <c r="S39" s="114">
        <f>VLOOKUP(G39,'Maturity Rating'!A$2:B$5,2,FALSE)</f>
        <v>3</v>
      </c>
      <c r="T39" s="114">
        <f>VLOOKUP(H39,'Maturity Rating'!A$8:B$11,2,FALSE)</f>
        <v>3</v>
      </c>
      <c r="U39" s="114">
        <f>VLOOKUP(I39,'Maturity Rating'!A$14:B$17,2,FALSE)</f>
        <v>3</v>
      </c>
      <c r="V39" s="114">
        <f>VLOOKUP(J39,'Maturity Rating'!A$20:B$23,2,FALSE)</f>
        <v>3</v>
      </c>
      <c r="W39" t="str">
        <f t="shared" si="2"/>
        <v>3333</v>
      </c>
      <c r="X39" t="str">
        <f>CONCATENATE(L39,L40,L41,L42,L43,L44,L45,L46,L47,L48)</f>
        <v>3.63321.5110.87511.75</v>
      </c>
    </row>
    <row r="40" spans="1:24" ht="29">
      <c r="A40" s="74">
        <v>13.37</v>
      </c>
      <c r="B40" s="356"/>
      <c r="C40" s="358"/>
      <c r="D40" s="266"/>
      <c r="E40" s="182" t="s">
        <v>593</v>
      </c>
      <c r="F40" s="55" t="s">
        <v>89</v>
      </c>
      <c r="G40" s="263" t="s">
        <v>118</v>
      </c>
      <c r="H40" s="263" t="s">
        <v>100</v>
      </c>
      <c r="I40" s="263" t="s">
        <v>120</v>
      </c>
      <c r="J40" s="257" t="s">
        <v>129</v>
      </c>
      <c r="K40" s="271">
        <f t="shared" si="1"/>
        <v>3</v>
      </c>
      <c r="L40" s="271">
        <f>IF(AND(D40="K",K40=1),'Maturity Rating'!$E$8,IF(K40="NA",K40,IF(D40="K",K40*'Maturity Rating'!$E$7,K40)))</f>
        <v>3</v>
      </c>
      <c r="M40" s="339"/>
      <c r="N40" s="339"/>
      <c r="O40" s="342"/>
      <c r="P40" s="27"/>
      <c r="Q40" s="27"/>
      <c r="S40" s="114">
        <f>VLOOKUP(G40,'Maturity Rating'!A$2:B$5,2,FALSE)</f>
        <v>3</v>
      </c>
      <c r="T40" s="114">
        <f>VLOOKUP(H40,'Maturity Rating'!A$8:B$11,2,FALSE)</f>
        <v>3</v>
      </c>
      <c r="U40" s="114">
        <f>VLOOKUP(I40,'Maturity Rating'!A$14:B$17,2,FALSE)</f>
        <v>3</v>
      </c>
      <c r="V40" s="114">
        <f>VLOOKUP(J40,'Maturity Rating'!A$20:B$23,2,FALSE)</f>
        <v>3</v>
      </c>
      <c r="W40" t="str">
        <f t="shared" si="2"/>
        <v>3333</v>
      </c>
    </row>
    <row r="41" spans="1:24" ht="29">
      <c r="A41" s="74">
        <v>13.38</v>
      </c>
      <c r="B41" s="356"/>
      <c r="C41" s="358"/>
      <c r="D41" s="266"/>
      <c r="E41" s="182" t="s">
        <v>594</v>
      </c>
      <c r="F41" s="55" t="s">
        <v>89</v>
      </c>
      <c r="G41" s="263" t="s">
        <v>118</v>
      </c>
      <c r="H41" s="263" t="s">
        <v>100</v>
      </c>
      <c r="I41" s="263" t="s">
        <v>120</v>
      </c>
      <c r="J41" s="257" t="s">
        <v>129</v>
      </c>
      <c r="K41" s="271">
        <f t="shared" si="1"/>
        <v>3</v>
      </c>
      <c r="L41" s="271">
        <f>IF(AND(D41="K",K41=1),'Maturity Rating'!$E$8,IF(K41="NA",K41,IF(D41="K",K41*'Maturity Rating'!$E$7,K41)))</f>
        <v>3</v>
      </c>
      <c r="M41" s="339"/>
      <c r="N41" s="339"/>
      <c r="O41" s="342"/>
      <c r="P41" s="27"/>
      <c r="Q41" s="27"/>
      <c r="S41" s="114">
        <f>VLOOKUP(G41,'Maturity Rating'!A$2:B$5,2,FALSE)</f>
        <v>3</v>
      </c>
      <c r="T41" s="114">
        <f>VLOOKUP(H41,'Maturity Rating'!A$8:B$11,2,FALSE)</f>
        <v>3</v>
      </c>
      <c r="U41" s="114">
        <f>VLOOKUP(I41,'Maturity Rating'!A$14:B$17,2,FALSE)</f>
        <v>3</v>
      </c>
      <c r="V41" s="114">
        <f>VLOOKUP(J41,'Maturity Rating'!A$20:B$23,2,FALSE)</f>
        <v>3</v>
      </c>
      <c r="W41" t="str">
        <f t="shared" si="2"/>
        <v>3333</v>
      </c>
    </row>
    <row r="42" spans="1:24">
      <c r="A42" s="74">
        <v>13.39</v>
      </c>
      <c r="B42" s="356"/>
      <c r="C42" s="358"/>
      <c r="D42" s="257"/>
      <c r="E42" s="182" t="s">
        <v>595</v>
      </c>
      <c r="F42" s="257" t="s">
        <v>89</v>
      </c>
      <c r="G42" s="263" t="s">
        <v>127</v>
      </c>
      <c r="H42" s="263" t="s">
        <v>100</v>
      </c>
      <c r="I42" s="263" t="s">
        <v>206</v>
      </c>
      <c r="J42" s="257" t="s">
        <v>129</v>
      </c>
      <c r="K42" s="271">
        <f t="shared" si="1"/>
        <v>2</v>
      </c>
      <c r="L42" s="271">
        <f>IF(AND(D42="K",K42=1),'Maturity Rating'!$E$8,IF(K42="NA",K42,IF(D42="K",K42*'Maturity Rating'!$E$7,K42)))</f>
        <v>2</v>
      </c>
      <c r="M42" s="339"/>
      <c r="N42" s="339"/>
      <c r="O42" s="342"/>
      <c r="P42" s="27"/>
      <c r="Q42" s="27"/>
      <c r="S42" s="114">
        <f>VLOOKUP(G42,'Maturity Rating'!A$2:B$5,2,FALSE)</f>
        <v>1</v>
      </c>
      <c r="T42" s="114">
        <f>VLOOKUP(H42,'Maturity Rating'!A$8:B$11,2,FALSE)</f>
        <v>3</v>
      </c>
      <c r="U42" s="114">
        <f>VLOOKUP(I42,'Maturity Rating'!A$14:B$17,2,FALSE)</f>
        <v>1</v>
      </c>
      <c r="V42" s="114">
        <f>VLOOKUP(J42,'Maturity Rating'!A$20:B$23,2,FALSE)</f>
        <v>3</v>
      </c>
      <c r="W42" t="str">
        <f t="shared" si="2"/>
        <v>1313</v>
      </c>
    </row>
    <row r="43" spans="1:24" ht="43.5">
      <c r="A43" s="74" t="s">
        <v>596</v>
      </c>
      <c r="B43" s="356"/>
      <c r="C43" s="358"/>
      <c r="D43" s="266"/>
      <c r="E43" s="182" t="s">
        <v>597</v>
      </c>
      <c r="F43" s="55" t="s">
        <v>89</v>
      </c>
      <c r="G43" s="263" t="s">
        <v>90</v>
      </c>
      <c r="H43" s="263" t="s">
        <v>125</v>
      </c>
      <c r="I43" s="263" t="s">
        <v>206</v>
      </c>
      <c r="J43" s="257" t="s">
        <v>102</v>
      </c>
      <c r="K43" s="271">
        <f t="shared" si="1"/>
        <v>1.5</v>
      </c>
      <c r="L43" s="271">
        <f>IF(AND(D43="K",K43=1),'Maturity Rating'!$E$8,IF(K43="NA",K43,IF(D43="K",K43*'Maturity Rating'!$E$7,K43)))</f>
        <v>1.5</v>
      </c>
      <c r="M43" s="339"/>
      <c r="N43" s="339"/>
      <c r="O43" s="342"/>
      <c r="P43" s="27"/>
      <c r="Q43" s="27"/>
      <c r="S43" s="114">
        <f>VLOOKUP(G43,'Maturity Rating'!A$2:B$5,2,FALSE)</f>
        <v>2</v>
      </c>
      <c r="T43" s="114">
        <f>VLOOKUP(H43,'Maturity Rating'!A$8:B$11,2,FALSE)</f>
        <v>2</v>
      </c>
      <c r="U43" s="114">
        <f>VLOOKUP(I43,'Maturity Rating'!A$14:B$17,2,FALSE)</f>
        <v>1</v>
      </c>
      <c r="V43" s="114">
        <f>VLOOKUP(J43,'Maturity Rating'!A$20:B$23,2,FALSE)</f>
        <v>1</v>
      </c>
      <c r="W43" t="str">
        <f t="shared" si="2"/>
        <v>2211</v>
      </c>
    </row>
    <row r="44" spans="1:24" ht="29">
      <c r="A44" s="74">
        <v>13.41</v>
      </c>
      <c r="B44" s="356"/>
      <c r="C44" s="358"/>
      <c r="D44" s="266"/>
      <c r="E44" s="182" t="s">
        <v>598</v>
      </c>
      <c r="F44" s="55" t="s">
        <v>89</v>
      </c>
      <c r="G44" s="263" t="s">
        <v>118</v>
      </c>
      <c r="H44" s="263" t="s">
        <v>95</v>
      </c>
      <c r="I44" s="263" t="s">
        <v>120</v>
      </c>
      <c r="J44" s="257" t="s">
        <v>102</v>
      </c>
      <c r="K44" s="271">
        <f t="shared" si="1"/>
        <v>1</v>
      </c>
      <c r="L44" s="271">
        <f>IF(AND(D44="K",K44=1),'Maturity Rating'!$E$8,IF(K44="NA",K44,IF(D44="K",K44*'Maturity Rating'!$E$7,K44)))</f>
        <v>1</v>
      </c>
      <c r="M44" s="339"/>
      <c r="N44" s="339"/>
      <c r="O44" s="342"/>
      <c r="P44" s="27"/>
      <c r="Q44" s="27"/>
      <c r="S44" s="114">
        <f>VLOOKUP(G44,'Maturity Rating'!A$2:B$5,2,FALSE)</f>
        <v>3</v>
      </c>
      <c r="T44" s="114">
        <f>VLOOKUP(H44,'Maturity Rating'!A$8:B$11,2,FALSE)</f>
        <v>1</v>
      </c>
      <c r="U44" s="114">
        <f>VLOOKUP(I44,'Maturity Rating'!A$14:B$17,2,FALSE)</f>
        <v>3</v>
      </c>
      <c r="V44" s="114">
        <f>VLOOKUP(J44,'Maturity Rating'!A$20:B$23,2,FALSE)</f>
        <v>1</v>
      </c>
      <c r="W44" t="str">
        <f t="shared" si="2"/>
        <v>3131</v>
      </c>
    </row>
    <row r="45" spans="1:24" ht="29">
      <c r="A45" s="74">
        <v>13.42</v>
      </c>
      <c r="B45" s="356"/>
      <c r="C45" s="358"/>
      <c r="D45" s="267"/>
      <c r="E45" s="184" t="s">
        <v>599</v>
      </c>
      <c r="F45" s="112" t="s">
        <v>89</v>
      </c>
      <c r="G45" s="263" t="s">
        <v>127</v>
      </c>
      <c r="H45" s="263" t="s">
        <v>95</v>
      </c>
      <c r="I45" s="263" t="s">
        <v>206</v>
      </c>
      <c r="J45" s="257" t="s">
        <v>102</v>
      </c>
      <c r="K45" s="271">
        <f t="shared" si="1"/>
        <v>1</v>
      </c>
      <c r="L45" s="271">
        <f>IF(AND(D45="K",K45=1),'Maturity Rating'!$E$8,IF(K45="NA",K45,IF(D45="K",K45*'Maturity Rating'!$E$7,K45)))</f>
        <v>1</v>
      </c>
      <c r="M45" s="339"/>
      <c r="N45" s="339"/>
      <c r="O45" s="352"/>
      <c r="P45" s="27"/>
      <c r="Q45" s="27"/>
      <c r="S45" s="114">
        <f>VLOOKUP(G45,'Maturity Rating'!A$2:B$5,2,FALSE)</f>
        <v>1</v>
      </c>
      <c r="T45" s="114">
        <f>VLOOKUP(H45,'Maturity Rating'!A$8:B$11,2,FALSE)</f>
        <v>1</v>
      </c>
      <c r="U45" s="114">
        <f>VLOOKUP(I45,'Maturity Rating'!A$14:B$17,2,FALSE)</f>
        <v>1</v>
      </c>
      <c r="V45" s="114">
        <f>VLOOKUP(J45,'Maturity Rating'!A$20:B$23,2,FALSE)</f>
        <v>1</v>
      </c>
      <c r="W45" t="str">
        <f t="shared" si="2"/>
        <v>1111</v>
      </c>
    </row>
    <row r="46" spans="1:24" ht="29">
      <c r="A46" s="74">
        <v>13.43</v>
      </c>
      <c r="B46" s="356"/>
      <c r="C46" s="358"/>
      <c r="D46" s="267"/>
      <c r="E46" s="184" t="s">
        <v>600</v>
      </c>
      <c r="F46" s="112" t="s">
        <v>89</v>
      </c>
      <c r="G46" s="263" t="s">
        <v>90</v>
      </c>
      <c r="H46" s="263" t="s">
        <v>95</v>
      </c>
      <c r="I46" s="263" t="s">
        <v>120</v>
      </c>
      <c r="J46" s="257" t="s">
        <v>102</v>
      </c>
      <c r="K46" s="271">
        <f t="shared" si="1"/>
        <v>0.875</v>
      </c>
      <c r="L46" s="271">
        <f>IF(AND(D46="K",K46=1),'Maturity Rating'!$E$8,IF(K46="NA",K46,IF(D46="K",K46*'Maturity Rating'!$E$7,K46)))</f>
        <v>0.875</v>
      </c>
      <c r="M46" s="339"/>
      <c r="N46" s="339"/>
      <c r="O46" s="352"/>
      <c r="P46" s="27"/>
      <c r="Q46" s="27"/>
      <c r="S46" s="114">
        <f>VLOOKUP(G46,'Maturity Rating'!A$2:B$5,2,FALSE)</f>
        <v>2</v>
      </c>
      <c r="T46" s="114">
        <f>VLOOKUP(H46,'Maturity Rating'!A$8:B$11,2,FALSE)</f>
        <v>1</v>
      </c>
      <c r="U46" s="114">
        <f>VLOOKUP(I46,'Maturity Rating'!A$14:B$17,2,FALSE)</f>
        <v>3</v>
      </c>
      <c r="V46" s="114">
        <f>VLOOKUP(J46,'Maturity Rating'!A$20:B$23,2,FALSE)</f>
        <v>1</v>
      </c>
      <c r="W46" t="str">
        <f t="shared" si="2"/>
        <v>2131</v>
      </c>
    </row>
    <row r="47" spans="1:24" ht="29">
      <c r="A47" s="74">
        <v>13.44</v>
      </c>
      <c r="B47" s="356"/>
      <c r="C47" s="358"/>
      <c r="D47" s="267"/>
      <c r="E47" s="184" t="s">
        <v>601</v>
      </c>
      <c r="F47" s="112" t="s">
        <v>89</v>
      </c>
      <c r="G47" s="263" t="s">
        <v>127</v>
      </c>
      <c r="H47" s="263" t="s">
        <v>95</v>
      </c>
      <c r="I47" s="263" t="s">
        <v>206</v>
      </c>
      <c r="J47" s="257" t="s">
        <v>102</v>
      </c>
      <c r="K47" s="271">
        <f t="shared" ref="K47" si="8">IF(W47="NANANANA",S47,IF(AND(OR(G47="Formally Documented",G47="Informally Documented"),H47="Not Implemented"),0.5*AVERAGE(S47:V47),AVERAGE(S47:V47)))</f>
        <v>1</v>
      </c>
      <c r="L47" s="271">
        <f>IF(AND(D47="K",K47=1),'Maturity Rating'!$E$8,IF(K47="NA",K47,IF(D47="K",K47*'Maturity Rating'!$E$7,K47)))</f>
        <v>1</v>
      </c>
      <c r="M47" s="339"/>
      <c r="N47" s="339"/>
      <c r="O47" s="352"/>
      <c r="P47" s="27"/>
      <c r="Q47" s="27"/>
      <c r="S47" s="114">
        <f>VLOOKUP(G47,'Maturity Rating'!A$2:B$5,2,FALSE)</f>
        <v>1</v>
      </c>
      <c r="T47" s="114">
        <f>VLOOKUP(H47,'Maturity Rating'!A$8:B$11,2,FALSE)</f>
        <v>1</v>
      </c>
      <c r="U47" s="114">
        <f>VLOOKUP(I47,'Maturity Rating'!A$14:B$17,2,FALSE)</f>
        <v>1</v>
      </c>
      <c r="V47" s="114">
        <f>VLOOKUP(J47,'Maturity Rating'!A$20:B$23,2,FALSE)</f>
        <v>1</v>
      </c>
      <c r="W47" t="str">
        <f t="shared" ref="W47" si="9">CONCATENATE(S47,T47,U47,V47)</f>
        <v>1111</v>
      </c>
    </row>
    <row r="48" spans="1:24" ht="31.5" customHeight="1" thickBot="1">
      <c r="A48" s="75">
        <v>13.45</v>
      </c>
      <c r="B48" s="376"/>
      <c r="C48" s="360"/>
      <c r="D48" s="268"/>
      <c r="E48" s="183" t="s">
        <v>602</v>
      </c>
      <c r="F48" s="59" t="s">
        <v>89</v>
      </c>
      <c r="G48" s="259" t="s">
        <v>90</v>
      </c>
      <c r="H48" s="259" t="s">
        <v>125</v>
      </c>
      <c r="I48" s="259" t="s">
        <v>206</v>
      </c>
      <c r="J48" s="259" t="s">
        <v>464</v>
      </c>
      <c r="K48" s="272">
        <f t="shared" si="1"/>
        <v>1.75</v>
      </c>
      <c r="L48" s="272">
        <f>IF(AND(D48="K",K48=1),'Maturity Rating'!$E$8,IF(K48="NA",K48,IF(D48="K",K48*'Maturity Rating'!$E$7,K48)))</f>
        <v>1.75</v>
      </c>
      <c r="M48" s="340"/>
      <c r="N48" s="340"/>
      <c r="O48" s="343"/>
      <c r="P48" s="27"/>
      <c r="Q48" s="27"/>
      <c r="S48" s="114">
        <f>VLOOKUP(G48,'Maturity Rating'!A$2:B$5,2,FALSE)</f>
        <v>2</v>
      </c>
      <c r="T48" s="114">
        <f>VLOOKUP(H48,'Maturity Rating'!A$8:B$11,2,FALSE)</f>
        <v>2</v>
      </c>
      <c r="U48" s="114">
        <f>VLOOKUP(I48,'Maturity Rating'!A$14:B$17,2,FALSE)</f>
        <v>1</v>
      </c>
      <c r="V48" s="114">
        <f>VLOOKUP(J48,'Maturity Rating'!A$20:B$23,2,FALSE)</f>
        <v>2</v>
      </c>
      <c r="W48" t="str">
        <f t="shared" si="2"/>
        <v>2212</v>
      </c>
    </row>
  </sheetData>
  <mergeCells count="36">
    <mergeCell ref="O7:O13"/>
    <mergeCell ref="C1:D1"/>
    <mergeCell ref="B7:B13"/>
    <mergeCell ref="C7:C13"/>
    <mergeCell ref="M7:M13"/>
    <mergeCell ref="N7:N13"/>
    <mergeCell ref="C4:C6"/>
    <mergeCell ref="B4:B6"/>
    <mergeCell ref="M4:M6"/>
    <mergeCell ref="N4:N6"/>
    <mergeCell ref="O4:O6"/>
    <mergeCell ref="B22:B25"/>
    <mergeCell ref="C22:C25"/>
    <mergeCell ref="M22:M25"/>
    <mergeCell ref="N22:N25"/>
    <mergeCell ref="O22:O25"/>
    <mergeCell ref="B14:B21"/>
    <mergeCell ref="C14:C21"/>
    <mergeCell ref="M14:M21"/>
    <mergeCell ref="N14:N21"/>
    <mergeCell ref="O14:O21"/>
    <mergeCell ref="B33:B38"/>
    <mergeCell ref="C33:C38"/>
    <mergeCell ref="M33:M38"/>
    <mergeCell ref="N33:N38"/>
    <mergeCell ref="O33:O38"/>
    <mergeCell ref="B26:B32"/>
    <mergeCell ref="C26:C32"/>
    <mergeCell ref="M26:M32"/>
    <mergeCell ref="N26:N32"/>
    <mergeCell ref="O26:O32"/>
    <mergeCell ref="B39:B48"/>
    <mergeCell ref="C39:C48"/>
    <mergeCell ref="M39:M48"/>
    <mergeCell ref="N39:N48"/>
    <mergeCell ref="O39:O48"/>
  </mergeCells>
  <pageMargins left="0.7" right="0.7" top="0.75" bottom="0.75" header="0.3" footer="0.3"/>
  <pageSetup paperSize="9" orientation="portrait" r:id="rId1"/>
  <ignoredErrors>
    <ignoredError sqref="E1:F1 K5:O48 K4:L4 N4:O4" evalError="1"/>
  </ignoredErrors>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1000-000000000000}">
          <x14:formula1>
            <xm:f>'Maturity Rating'!$A$2:$A$5</xm:f>
          </x14:formula1>
          <xm:sqref>G4:G48</xm:sqref>
        </x14:dataValidation>
        <x14:dataValidation type="list" allowBlank="1" showInputMessage="1" showErrorMessage="1" xr:uid="{00000000-0002-0000-1000-000001000000}">
          <x14:formula1>
            <xm:f>'Maturity Rating'!$A$14:$A$17</xm:f>
          </x14:formula1>
          <xm:sqref>I4:I48</xm:sqref>
        </x14:dataValidation>
        <x14:dataValidation type="list" allowBlank="1" showInputMessage="1" showErrorMessage="1" xr:uid="{00000000-0002-0000-1000-000002000000}">
          <x14:formula1>
            <xm:f>'Maturity Rating'!$A$20:$A$23</xm:f>
          </x14:formula1>
          <xm:sqref>J4:J48</xm:sqref>
        </x14:dataValidation>
        <x14:dataValidation type="list" allowBlank="1" showInputMessage="1" showErrorMessage="1" xr:uid="{00000000-0002-0000-1000-000003000000}">
          <x14:formula1>
            <xm:f>'Maturity Rating'!$A$8:$A$11</xm:f>
          </x14:formula1>
          <xm:sqref>H4:H48</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2"/>
    <pageSetUpPr autoPageBreaks="0"/>
  </sheetPr>
  <dimension ref="A1:Y25"/>
  <sheetViews>
    <sheetView showGridLines="0" topLeftCell="B1" zoomScale="52" zoomScaleNormal="60" workbookViewId="0"/>
  </sheetViews>
  <sheetFormatPr defaultColWidth="9.08984375" defaultRowHeight="14.5"/>
  <cols>
    <col min="1" max="1" width="8.1796875" style="22" customWidth="1"/>
    <col min="2" max="2" width="22.1796875" style="24" customWidth="1"/>
    <col min="3" max="3" width="34.90625" style="25" customWidth="1"/>
    <col min="4" max="4" width="22.1796875" style="25" customWidth="1"/>
    <col min="5" max="5" width="79.1796875" style="24" customWidth="1"/>
    <col min="6" max="6" width="31.36328125" style="62" customWidth="1"/>
    <col min="7" max="10" width="20.6328125" style="62" customWidth="1"/>
    <col min="11" max="11" width="13.6328125" style="24" bestFit="1" customWidth="1"/>
    <col min="12" max="12" width="26.36328125" style="24" customWidth="1"/>
    <col min="13" max="13" width="18.81640625" style="24" customWidth="1"/>
    <col min="14" max="14" width="20.90625" style="24" customWidth="1"/>
    <col min="15" max="15" width="13.6328125" style="24" customWidth="1"/>
    <col min="16" max="16" width="6.453125" customWidth="1"/>
    <col min="17" max="17" width="4" hidden="1" customWidth="1"/>
    <col min="18" max="18" width="5" hidden="1" customWidth="1"/>
    <col min="19" max="19" width="5.6328125" style="189" hidden="1" customWidth="1"/>
    <col min="20" max="21" width="7.08984375" style="189" hidden="1" customWidth="1"/>
    <col min="22" max="22" width="6.1796875" style="189" hidden="1" customWidth="1"/>
    <col min="23" max="23" width="7.81640625" hidden="1" customWidth="1"/>
    <col min="24" max="24" width="10.1796875" hidden="1" customWidth="1"/>
    <col min="26" max="16384" width="9.08984375" style="24"/>
  </cols>
  <sheetData>
    <row r="1" spans="1:25" ht="22.5" customHeight="1" thickBot="1">
      <c r="C1" s="353" t="s">
        <v>66</v>
      </c>
      <c r="D1" s="354"/>
      <c r="E1" s="45" t="str">
        <f>IF(F1="NA","Not Applicable",VLOOKUP(T1,'Maturity Rating'!G4:H8,2,FALSE))</f>
        <v>Defined</v>
      </c>
      <c r="F1" s="46">
        <f>IF(U1="NANANANA","NA",AVERAGE(N4:N25))</f>
        <v>3.9027777777777781</v>
      </c>
      <c r="G1" s="22"/>
      <c r="I1" s="22"/>
      <c r="S1"/>
      <c r="T1" s="98">
        <f>ROUNDDOWN(F1,0)</f>
        <v>3</v>
      </c>
      <c r="U1" s="98" t="str">
        <f>CONCATENATE(N4,N7,N16,N20)</f>
        <v>4.2222222222222243.333333333333334.05555555555556</v>
      </c>
      <c r="V1"/>
    </row>
    <row r="2" spans="1:25" ht="15" thickBot="1"/>
    <row r="3" spans="1:25" s="22" customFormat="1" ht="30.75" customHeight="1" thickBot="1">
      <c r="A3" s="88" t="s">
        <v>2</v>
      </c>
      <c r="B3" s="81" t="s">
        <v>67</v>
      </c>
      <c r="C3" s="81" t="s">
        <v>68</v>
      </c>
      <c r="D3" s="81" t="s">
        <v>69</v>
      </c>
      <c r="E3" s="48" t="s">
        <v>70</v>
      </c>
      <c r="F3" s="81" t="s">
        <v>71</v>
      </c>
      <c r="G3" s="81" t="s">
        <v>72</v>
      </c>
      <c r="H3" s="81" t="s">
        <v>73</v>
      </c>
      <c r="I3" s="81" t="s">
        <v>74</v>
      </c>
      <c r="J3" s="81" t="s">
        <v>75</v>
      </c>
      <c r="K3" s="81" t="s">
        <v>76</v>
      </c>
      <c r="L3" s="81" t="s">
        <v>77</v>
      </c>
      <c r="M3" s="81" t="s">
        <v>164</v>
      </c>
      <c r="N3" s="81" t="s">
        <v>79</v>
      </c>
      <c r="O3" s="89" t="s">
        <v>80</v>
      </c>
      <c r="P3"/>
      <c r="Q3"/>
      <c r="R3"/>
      <c r="S3" s="227" t="s">
        <v>81</v>
      </c>
      <c r="T3" s="227" t="s">
        <v>82</v>
      </c>
      <c r="U3" s="227" t="s">
        <v>83</v>
      </c>
      <c r="V3" s="227" t="s">
        <v>84</v>
      </c>
      <c r="W3" s="228"/>
      <c r="X3" s="228"/>
      <c r="Y3" s="228"/>
    </row>
    <row r="4" spans="1:25" ht="30" customHeight="1">
      <c r="A4" s="36">
        <v>15.1</v>
      </c>
      <c r="B4" s="355" t="s">
        <v>604</v>
      </c>
      <c r="C4" s="357" t="s">
        <v>605</v>
      </c>
      <c r="D4" s="256" t="s">
        <v>87</v>
      </c>
      <c r="E4" s="51" t="s">
        <v>606</v>
      </c>
      <c r="F4" s="263" t="s">
        <v>89</v>
      </c>
      <c r="G4" s="263" t="s">
        <v>118</v>
      </c>
      <c r="H4" s="263" t="s">
        <v>100</v>
      </c>
      <c r="I4" s="263" t="s">
        <v>120</v>
      </c>
      <c r="J4" s="263" t="s">
        <v>129</v>
      </c>
      <c r="K4" s="271">
        <f>IF(W4="NANANANA",S4,IF(AND(OR(G4="Formally Documented",G4="Informally Documented"),H4="Not Implemented"),0.5*AVERAGE(S4:V4),AVERAGE(S4:V4)))</f>
        <v>3</v>
      </c>
      <c r="L4" s="271">
        <f>IF(AND(D4="K",K4=1),'Maturity Rating'!$E$8,IF(K4="NA",K4,IF(D4="K",K4*'Maturity Rating'!$E$7,K4)))</f>
        <v>3.5999999999999996</v>
      </c>
      <c r="M4" s="339">
        <f>IF(X4="NANANANA",K4,AVERAGE(L4:L6))</f>
        <v>2.5333333333333332</v>
      </c>
      <c r="N4" s="339">
        <f>IF(M4&lt;1.1,1,IF(M4="NA",M4,(MIN(5,M4/3*5))))</f>
        <v>4.2222222222222223</v>
      </c>
      <c r="O4" s="361" t="str">
        <f>IF(N4="NA",N4,VLOOKUP(Q4,'Maturity Rating'!G4:H8,2,FALSE))</f>
        <v>Repeatable</v>
      </c>
      <c r="P4" s="27"/>
      <c r="Q4" s="229">
        <f>IF(N4="NA",N4,ROUNDDOWN(N4,0))</f>
        <v>4</v>
      </c>
      <c r="S4" s="114">
        <f>VLOOKUP(G4,'Maturity Rating'!A$2:B$5,2,FALSE)</f>
        <v>3</v>
      </c>
      <c r="T4" s="114">
        <f>VLOOKUP(H4,'Maturity Rating'!A$8:B$11,2,FALSE)</f>
        <v>3</v>
      </c>
      <c r="U4" s="114">
        <f>VLOOKUP(I4,'Maturity Rating'!A$14:B$17,2,FALSE)</f>
        <v>3</v>
      </c>
      <c r="V4" s="114">
        <f>VLOOKUP(J4,'Maturity Rating'!A$20:B$23,2,FALSE)</f>
        <v>3</v>
      </c>
      <c r="W4" t="str">
        <f>CONCATENATE(S4,T4,U4,V4)</f>
        <v>3333</v>
      </c>
      <c r="X4" t="str">
        <f>CONCATENATE(L4,L5,L6)</f>
        <v>3.631</v>
      </c>
    </row>
    <row r="5" spans="1:25" ht="29">
      <c r="A5" s="74">
        <v>15.2</v>
      </c>
      <c r="B5" s="356"/>
      <c r="C5" s="358"/>
      <c r="D5" s="257"/>
      <c r="E5" s="266" t="s">
        <v>524</v>
      </c>
      <c r="F5" s="257" t="s">
        <v>89</v>
      </c>
      <c r="G5" s="263" t="s">
        <v>118</v>
      </c>
      <c r="H5" s="257" t="s">
        <v>100</v>
      </c>
      <c r="I5" s="263" t="s">
        <v>120</v>
      </c>
      <c r="J5" s="257" t="s">
        <v>129</v>
      </c>
      <c r="K5" s="271">
        <f t="shared" ref="K5:K25" si="0">IF(W5="NANANANA",S5,IF(AND(OR(G5="Formally Documented",G5="Informally Documented"),H5="Not Implemented"),0.5*AVERAGE(S5:V5),AVERAGE(S5:V5)))</f>
        <v>3</v>
      </c>
      <c r="L5" s="273">
        <f>IF(AND(D5="K",K5=1),'Maturity Rating'!$E$8,IF(K5="NA",K5,IF(D5="K",K5*'Maturity Rating'!$E$7,K5)))</f>
        <v>3</v>
      </c>
      <c r="M5" s="339"/>
      <c r="N5" s="339"/>
      <c r="O5" s="361"/>
      <c r="P5" s="27"/>
      <c r="S5" s="114">
        <f>VLOOKUP(G5,'Maturity Rating'!A$2:B$5,2,FALSE)</f>
        <v>3</v>
      </c>
      <c r="T5" s="114">
        <f>VLOOKUP(H5,'Maturity Rating'!A$8:B$11,2,FALSE)</f>
        <v>3</v>
      </c>
      <c r="U5" s="114">
        <f>VLOOKUP(I5,'Maturity Rating'!A$14:B$17,2,FALSE)</f>
        <v>3</v>
      </c>
      <c r="V5" s="114">
        <f>VLOOKUP(J5,'Maturity Rating'!A$20:B$23,2,FALSE)</f>
        <v>3</v>
      </c>
      <c r="W5" t="str">
        <f t="shared" ref="W5:W25" si="1">CONCATENATE(S5,T5,U5,V5)</f>
        <v>3333</v>
      </c>
    </row>
    <row r="6" spans="1:25" ht="31.5" customHeight="1" thickBot="1">
      <c r="A6" s="75">
        <v>15.3</v>
      </c>
      <c r="B6" s="376"/>
      <c r="C6" s="360"/>
      <c r="D6" s="259"/>
      <c r="E6" s="268" t="s">
        <v>198</v>
      </c>
      <c r="F6" s="259" t="s">
        <v>89</v>
      </c>
      <c r="G6" s="259" t="s">
        <v>127</v>
      </c>
      <c r="H6" s="259" t="s">
        <v>95</v>
      </c>
      <c r="I6" s="259" t="s">
        <v>91</v>
      </c>
      <c r="J6" s="265" t="s">
        <v>91</v>
      </c>
      <c r="K6" s="272">
        <f t="shared" si="0"/>
        <v>1</v>
      </c>
      <c r="L6" s="262">
        <f>IF(AND(D6="K",K6=1),'Maturity Rating'!$E$8,IF(K6="NA",K6,IF(D6="K",K6*'Maturity Rating'!$E$7,K6)))</f>
        <v>1</v>
      </c>
      <c r="M6" s="340"/>
      <c r="N6" s="340"/>
      <c r="O6" s="362"/>
      <c r="P6" s="27"/>
      <c r="Q6" s="27"/>
      <c r="S6" s="114">
        <f>VLOOKUP(G6,'Maturity Rating'!A$2:B$5,2,FALSE)</f>
        <v>1</v>
      </c>
      <c r="T6" s="114">
        <f>VLOOKUP(H6,'Maturity Rating'!A$8:B$11,2,FALSE)</f>
        <v>1</v>
      </c>
      <c r="U6" s="114" t="str">
        <f>VLOOKUP(I6,'Maturity Rating'!A$14:B$17,2,FALSE)</f>
        <v>NA</v>
      </c>
      <c r="V6" s="114" t="str">
        <f>VLOOKUP(J6,'Maturity Rating'!A$20:B$23,2,FALSE)</f>
        <v>NA</v>
      </c>
      <c r="W6" t="str">
        <f t="shared" si="1"/>
        <v>11NANA</v>
      </c>
    </row>
    <row r="7" spans="1:25" ht="36" customHeight="1">
      <c r="A7" s="36">
        <v>15.4</v>
      </c>
      <c r="B7" s="355" t="s">
        <v>607</v>
      </c>
      <c r="C7" s="357" t="s">
        <v>608</v>
      </c>
      <c r="D7" s="256"/>
      <c r="E7" s="203" t="s">
        <v>609</v>
      </c>
      <c r="F7" s="263" t="s">
        <v>105</v>
      </c>
      <c r="G7" s="263" t="s">
        <v>127</v>
      </c>
      <c r="H7" s="263" t="s">
        <v>95</v>
      </c>
      <c r="I7" s="263" t="s">
        <v>206</v>
      </c>
      <c r="J7" s="263" t="s">
        <v>102</v>
      </c>
      <c r="K7" s="271">
        <f t="shared" si="0"/>
        <v>1</v>
      </c>
      <c r="L7" s="261">
        <f>IF(AND(D7="K",K7=1),'Maturity Rating'!$E$8,IF(K7="NA",K7,IF(D7="K",K7*'Maturity Rating'!$E$7,K7)))</f>
        <v>1</v>
      </c>
      <c r="M7" s="338">
        <f>IF(X7="NANANANA",K7,AVERAGE(L7:L15))</f>
        <v>2.4000000000000004</v>
      </c>
      <c r="N7" s="338">
        <f>IF(M7&lt;1.1,1,IF(M7="NA",M7,(MIN(5,M7/3*5))))</f>
        <v>4.0000000000000009</v>
      </c>
      <c r="O7" s="363" t="str">
        <f>IF(N7="NA",N7,VLOOKUP(Q7,'Maturity Rating'!G4:H8,2,FALSE))</f>
        <v>Repeatable</v>
      </c>
      <c r="P7" s="27"/>
      <c r="Q7" s="27">
        <f>IF(N7="NA",N7,ROUNDDOWN(N7,0))</f>
        <v>4</v>
      </c>
      <c r="S7" s="114">
        <f>VLOOKUP(G7,'Maturity Rating'!A$2:B$5,2,FALSE)</f>
        <v>1</v>
      </c>
      <c r="T7" s="114">
        <f>VLOOKUP(H7,'Maturity Rating'!A$8:B$11,2,FALSE)</f>
        <v>1</v>
      </c>
      <c r="U7" s="114">
        <f>VLOOKUP(I7,'Maturity Rating'!A$14:B$17,2,FALSE)</f>
        <v>1</v>
      </c>
      <c r="V7" s="114">
        <f>VLOOKUP(J7,'Maturity Rating'!A$20:B$23,2,FALSE)</f>
        <v>1</v>
      </c>
      <c r="W7" t="str">
        <f t="shared" si="1"/>
        <v>1111</v>
      </c>
      <c r="X7" t="str">
        <f>CONCATENATE(L7,L8,L9,L10,L11,L12,L13,L14,L15)</f>
        <v>13.63133313</v>
      </c>
    </row>
    <row r="8" spans="1:25" ht="29">
      <c r="A8" s="74">
        <v>15.5</v>
      </c>
      <c r="B8" s="356"/>
      <c r="C8" s="358"/>
      <c r="D8" s="257" t="s">
        <v>87</v>
      </c>
      <c r="E8" s="52" t="s">
        <v>610</v>
      </c>
      <c r="F8" s="257" t="s">
        <v>89</v>
      </c>
      <c r="G8" s="263" t="s">
        <v>118</v>
      </c>
      <c r="H8" s="55" t="s">
        <v>100</v>
      </c>
      <c r="I8" s="263" t="s">
        <v>120</v>
      </c>
      <c r="J8" s="263" t="s">
        <v>129</v>
      </c>
      <c r="K8" s="271">
        <f t="shared" si="0"/>
        <v>3</v>
      </c>
      <c r="L8" s="273">
        <f>IF(AND(D8="K",K8=1),'Maturity Rating'!$E$8,IF(K8="NA",K8,IF(D8="K",K8*'Maturity Rating'!$E$7,K8)))</f>
        <v>3.5999999999999996</v>
      </c>
      <c r="M8" s="339"/>
      <c r="N8" s="339"/>
      <c r="O8" s="361"/>
      <c r="P8" s="27"/>
      <c r="Q8" s="229"/>
      <c r="S8" s="114">
        <f>VLOOKUP(G8,'Maturity Rating'!A$2:B$5,2,FALSE)</f>
        <v>3</v>
      </c>
      <c r="T8" s="114">
        <f>VLOOKUP(H8,'Maturity Rating'!A$8:B$11,2,FALSE)</f>
        <v>3</v>
      </c>
      <c r="U8" s="114">
        <f>VLOOKUP(I8,'Maturity Rating'!A$14:B$17,2,FALSE)</f>
        <v>3</v>
      </c>
      <c r="V8" s="114">
        <f>VLOOKUP(J8,'Maturity Rating'!A$20:B$23,2,FALSE)</f>
        <v>3</v>
      </c>
      <c r="W8" t="str">
        <f t="shared" si="1"/>
        <v>3333</v>
      </c>
    </row>
    <row r="9" spans="1:25" ht="58">
      <c r="A9" s="74">
        <v>15.6</v>
      </c>
      <c r="B9" s="356"/>
      <c r="C9" s="358"/>
      <c r="D9" s="257"/>
      <c r="E9" s="266" t="s">
        <v>611</v>
      </c>
      <c r="F9" s="275" t="s">
        <v>89</v>
      </c>
      <c r="G9" s="263" t="s">
        <v>118</v>
      </c>
      <c r="H9" s="55" t="s">
        <v>100</v>
      </c>
      <c r="I9" s="263" t="s">
        <v>120</v>
      </c>
      <c r="J9" s="263" t="s">
        <v>129</v>
      </c>
      <c r="K9" s="271">
        <f t="shared" si="0"/>
        <v>3</v>
      </c>
      <c r="L9" s="273">
        <f>IF(AND(D9="K",K9=1),'Maturity Rating'!$E$8,IF(K9="NA",K9,IF(D9="K",K9*'Maturity Rating'!$E$7,K9)))</f>
        <v>3</v>
      </c>
      <c r="M9" s="339"/>
      <c r="N9" s="339"/>
      <c r="O9" s="361"/>
      <c r="P9" s="27"/>
      <c r="Q9" s="27"/>
      <c r="S9" s="114">
        <f>VLOOKUP(G9,'Maturity Rating'!A$2:B$5,2,FALSE)</f>
        <v>3</v>
      </c>
      <c r="T9" s="114">
        <f>VLOOKUP(H9,'Maturity Rating'!A$8:B$11,2,FALSE)</f>
        <v>3</v>
      </c>
      <c r="U9" s="114">
        <f>VLOOKUP(I9,'Maturity Rating'!A$14:B$17,2,FALSE)</f>
        <v>3</v>
      </c>
      <c r="V9" s="114">
        <f>VLOOKUP(J9,'Maturity Rating'!A$20:B$23,2,FALSE)</f>
        <v>3</v>
      </c>
      <c r="W9" t="str">
        <f t="shared" si="1"/>
        <v>3333</v>
      </c>
    </row>
    <row r="10" spans="1:25" ht="29">
      <c r="A10" s="74">
        <v>15.7</v>
      </c>
      <c r="B10" s="356"/>
      <c r="C10" s="358"/>
      <c r="D10" s="257"/>
      <c r="E10" s="266" t="s">
        <v>612</v>
      </c>
      <c r="F10" s="257" t="s">
        <v>89</v>
      </c>
      <c r="G10" s="263" t="s">
        <v>127</v>
      </c>
      <c r="H10" s="55" t="s">
        <v>95</v>
      </c>
      <c r="I10" s="263" t="s">
        <v>91</v>
      </c>
      <c r="J10" s="263" t="s">
        <v>91</v>
      </c>
      <c r="K10" s="271">
        <f t="shared" si="0"/>
        <v>1</v>
      </c>
      <c r="L10" s="273">
        <f>IF(AND(D10="K",K10=1),'Maturity Rating'!$E$8,IF(K10="NA",K10,IF(D10="K",K10*'Maturity Rating'!$E$7,K10)))</f>
        <v>1</v>
      </c>
      <c r="M10" s="339"/>
      <c r="N10" s="339"/>
      <c r="O10" s="361"/>
      <c r="P10" s="27"/>
      <c r="Q10" s="27"/>
      <c r="S10" s="114">
        <f>VLOOKUP(G10,'Maturity Rating'!A$2:B$5,2,FALSE)</f>
        <v>1</v>
      </c>
      <c r="T10" s="114">
        <f>VLOOKUP(H10,'Maturity Rating'!A$8:B$11,2,FALSE)</f>
        <v>1</v>
      </c>
      <c r="U10" s="114" t="str">
        <f>VLOOKUP(I10,'Maturity Rating'!A$14:B$17,2,FALSE)</f>
        <v>NA</v>
      </c>
      <c r="V10" s="114" t="str">
        <f>VLOOKUP(J10,'Maturity Rating'!A$20:B$23,2,FALSE)</f>
        <v>NA</v>
      </c>
      <c r="W10" t="str">
        <f t="shared" si="1"/>
        <v>11NANA</v>
      </c>
    </row>
    <row r="11" spans="1:25" ht="29">
      <c r="A11" s="74">
        <v>15.8</v>
      </c>
      <c r="B11" s="356"/>
      <c r="C11" s="358"/>
      <c r="D11" s="257"/>
      <c r="E11" s="266" t="s">
        <v>613</v>
      </c>
      <c r="F11" s="257" t="s">
        <v>89</v>
      </c>
      <c r="G11" s="263" t="s">
        <v>118</v>
      </c>
      <c r="H11" s="55" t="s">
        <v>100</v>
      </c>
      <c r="I11" s="263" t="s">
        <v>120</v>
      </c>
      <c r="J11" s="263" t="s">
        <v>129</v>
      </c>
      <c r="K11" s="271">
        <f t="shared" ref="K11" si="2">IF(W11="NANANANA",S11,IF(AND(OR(G11="Formally Documented",G11="Informally Documented"),H11="Not Implemented"),0.5*AVERAGE(S11:V11),AVERAGE(S11:V11)))</f>
        <v>3</v>
      </c>
      <c r="L11" s="273">
        <f>IF(AND(D11="K",K11=1),'Maturity Rating'!$E$8,IF(K11="NA",K11,IF(D11="K",K11*'Maturity Rating'!$E$7,K11)))</f>
        <v>3</v>
      </c>
      <c r="M11" s="339"/>
      <c r="N11" s="339"/>
      <c r="O11" s="361"/>
      <c r="P11" s="27"/>
      <c r="Q11" s="27"/>
      <c r="S11" s="114">
        <f>VLOOKUP(G11,'Maturity Rating'!A$2:B$5,2,FALSE)</f>
        <v>3</v>
      </c>
      <c r="T11" s="114">
        <f>VLOOKUP(H11,'Maturity Rating'!A$8:B$11,2,FALSE)</f>
        <v>3</v>
      </c>
      <c r="U11" s="114">
        <f>VLOOKUP(I11,'Maturity Rating'!A$14:B$17,2,FALSE)</f>
        <v>3</v>
      </c>
      <c r="V11" s="114">
        <f>VLOOKUP(J11,'Maturity Rating'!A$20:B$23,2,FALSE)</f>
        <v>3</v>
      </c>
      <c r="W11" t="str">
        <f t="shared" ref="W11" si="3">CONCATENATE(S11,T11,U11,V11)</f>
        <v>3333</v>
      </c>
    </row>
    <row r="12" spans="1:25" ht="29">
      <c r="A12" s="74">
        <v>15.9</v>
      </c>
      <c r="B12" s="356"/>
      <c r="C12" s="358"/>
      <c r="D12" s="257"/>
      <c r="E12" s="266" t="s">
        <v>614</v>
      </c>
      <c r="F12" s="55" t="s">
        <v>89</v>
      </c>
      <c r="G12" s="263" t="s">
        <v>118</v>
      </c>
      <c r="H12" s="55" t="s">
        <v>100</v>
      </c>
      <c r="I12" s="263" t="s">
        <v>120</v>
      </c>
      <c r="J12" s="263" t="s">
        <v>129</v>
      </c>
      <c r="K12" s="271">
        <f t="shared" si="0"/>
        <v>3</v>
      </c>
      <c r="L12" s="273">
        <f>IF(AND(D12="K",K12=1),'Maturity Rating'!$E$8,IF(K12="NA",K12,IF(D12="K",K12*'Maturity Rating'!$E$7,K12)))</f>
        <v>3</v>
      </c>
      <c r="M12" s="339"/>
      <c r="N12" s="339"/>
      <c r="O12" s="361"/>
      <c r="P12" s="27"/>
      <c r="Q12" s="27"/>
      <c r="S12" s="114">
        <f>VLOOKUP(G12,'Maturity Rating'!A$2:B$5,2,FALSE)</f>
        <v>3</v>
      </c>
      <c r="T12" s="114">
        <f>VLOOKUP(H12,'Maturity Rating'!A$8:B$11,2,FALSE)</f>
        <v>3</v>
      </c>
      <c r="U12" s="114">
        <f>VLOOKUP(I12,'Maturity Rating'!A$14:B$17,2,FALSE)</f>
        <v>3</v>
      </c>
      <c r="V12" s="114">
        <f>VLOOKUP(J12,'Maturity Rating'!A$20:B$23,2,FALSE)</f>
        <v>3</v>
      </c>
      <c r="W12" t="str">
        <f t="shared" si="1"/>
        <v>3333</v>
      </c>
    </row>
    <row r="13" spans="1:25" s="123" customFormat="1">
      <c r="A13" s="150" t="s">
        <v>615</v>
      </c>
      <c r="B13" s="356"/>
      <c r="C13" s="358"/>
      <c r="D13" s="55"/>
      <c r="E13" s="28" t="s">
        <v>616</v>
      </c>
      <c r="F13" s="55" t="s">
        <v>89</v>
      </c>
      <c r="G13" s="263" t="s">
        <v>118</v>
      </c>
      <c r="H13" s="55" t="s">
        <v>100</v>
      </c>
      <c r="I13" s="263" t="s">
        <v>120</v>
      </c>
      <c r="J13" s="263" t="s">
        <v>129</v>
      </c>
      <c r="K13" s="151">
        <f t="shared" si="0"/>
        <v>3</v>
      </c>
      <c r="L13" s="152">
        <f>IF(AND(D13="K",K13=1),'Maturity Rating'!$E$8,IF(K13="NA",K13,IF(D13="K",K13*'Maturity Rating'!$E$7,K13)))</f>
        <v>3</v>
      </c>
      <c r="M13" s="339"/>
      <c r="N13" s="339"/>
      <c r="O13" s="361"/>
      <c r="P13" s="231"/>
      <c r="Q13" s="231"/>
      <c r="R13" s="232"/>
      <c r="S13" s="60">
        <f>VLOOKUP(G13,'Maturity Rating'!A$2:B$5,2,FALSE)</f>
        <v>3</v>
      </c>
      <c r="T13" s="60">
        <f>VLOOKUP(H13,'Maturity Rating'!A$8:B$11,2,FALSE)</f>
        <v>3</v>
      </c>
      <c r="U13" s="60">
        <f>VLOOKUP(I13,'Maturity Rating'!A$14:B$17,2,FALSE)</f>
        <v>3</v>
      </c>
      <c r="V13" s="60">
        <f>VLOOKUP(J13,'Maturity Rating'!A$20:B$23,2,FALSE)</f>
        <v>3</v>
      </c>
      <c r="W13" s="232" t="str">
        <f t="shared" si="1"/>
        <v>3333</v>
      </c>
      <c r="X13" s="232"/>
      <c r="Y13" s="232"/>
    </row>
    <row r="14" spans="1:25" ht="29">
      <c r="A14" s="74">
        <v>15.11</v>
      </c>
      <c r="B14" s="356"/>
      <c r="C14" s="358"/>
      <c r="D14" s="257"/>
      <c r="E14" s="266" t="s">
        <v>617</v>
      </c>
      <c r="F14" s="55" t="s">
        <v>89</v>
      </c>
      <c r="G14" s="263" t="s">
        <v>127</v>
      </c>
      <c r="H14" s="55" t="s">
        <v>95</v>
      </c>
      <c r="I14" s="263" t="s">
        <v>91</v>
      </c>
      <c r="J14" s="263" t="s">
        <v>102</v>
      </c>
      <c r="K14" s="271">
        <f t="shared" si="0"/>
        <v>1</v>
      </c>
      <c r="L14" s="273">
        <f>IF(AND(D14="K",K14=1),'Maturity Rating'!$E$8,IF(K14="NA",K14,IF(D14="K",K14*'Maturity Rating'!$E$7,K14)))</f>
        <v>1</v>
      </c>
      <c r="M14" s="339"/>
      <c r="N14" s="339"/>
      <c r="O14" s="361"/>
      <c r="P14" s="27"/>
      <c r="Q14" s="27"/>
      <c r="S14" s="114">
        <f>VLOOKUP(G14,'Maturity Rating'!A$2:B$5,2,FALSE)</f>
        <v>1</v>
      </c>
      <c r="T14" s="114">
        <f>VLOOKUP(H14,'Maturity Rating'!A$8:B$11,2,FALSE)</f>
        <v>1</v>
      </c>
      <c r="U14" s="114" t="str">
        <f>VLOOKUP(I14,'Maturity Rating'!A$14:B$17,2,FALSE)</f>
        <v>NA</v>
      </c>
      <c r="V14" s="114">
        <f>VLOOKUP(J14,'Maturity Rating'!A$20:B$23,2,FALSE)</f>
        <v>1</v>
      </c>
      <c r="W14" t="str">
        <f t="shared" si="1"/>
        <v>11NA1</v>
      </c>
    </row>
    <row r="15" spans="1:25" ht="15" thickBot="1">
      <c r="A15" s="75">
        <v>15.12</v>
      </c>
      <c r="B15" s="376"/>
      <c r="C15" s="360"/>
      <c r="D15" s="259"/>
      <c r="E15" s="268" t="s">
        <v>618</v>
      </c>
      <c r="F15" s="59" t="s">
        <v>105</v>
      </c>
      <c r="G15" s="259" t="s">
        <v>118</v>
      </c>
      <c r="H15" s="59" t="s">
        <v>100</v>
      </c>
      <c r="I15" s="259" t="s">
        <v>120</v>
      </c>
      <c r="J15" s="259" t="s">
        <v>129</v>
      </c>
      <c r="K15" s="272">
        <f t="shared" si="0"/>
        <v>3</v>
      </c>
      <c r="L15" s="272">
        <f>IF(AND(D15="K",K15=1),'Maturity Rating'!$E$8,IF(K15="NA",K15,IF(D15="K",K15*'Maturity Rating'!$E$7,K15)))</f>
        <v>3</v>
      </c>
      <c r="M15" s="340"/>
      <c r="N15" s="340"/>
      <c r="O15" s="362"/>
      <c r="P15" s="27"/>
      <c r="Q15" s="27"/>
      <c r="S15" s="114">
        <f>VLOOKUP(G15,'Maturity Rating'!A$2:B$5,2,FALSE)</f>
        <v>3</v>
      </c>
      <c r="T15" s="114">
        <f>VLOOKUP(H15,'Maturity Rating'!A$8:B$11,2,FALSE)</f>
        <v>3</v>
      </c>
      <c r="U15" s="114">
        <f>VLOOKUP(I15,'Maturity Rating'!A$14:B$17,2,FALSE)</f>
        <v>3</v>
      </c>
      <c r="V15" s="114">
        <f>VLOOKUP(J15,'Maturity Rating'!A$20:B$23,2,FALSE)</f>
        <v>3</v>
      </c>
      <c r="W15" t="str">
        <f t="shared" si="1"/>
        <v>3333</v>
      </c>
    </row>
    <row r="16" spans="1:25" ht="31.5" customHeight="1">
      <c r="A16" s="36">
        <v>15.13</v>
      </c>
      <c r="B16" s="355" t="s">
        <v>619</v>
      </c>
      <c r="C16" s="357" t="s">
        <v>620</v>
      </c>
      <c r="D16" s="256"/>
      <c r="E16" s="277" t="s">
        <v>621</v>
      </c>
      <c r="F16" s="99" t="s">
        <v>89</v>
      </c>
      <c r="G16" s="263" t="s">
        <v>127</v>
      </c>
      <c r="H16" s="99" t="s">
        <v>95</v>
      </c>
      <c r="I16" s="263" t="s">
        <v>91</v>
      </c>
      <c r="J16" s="263" t="s">
        <v>91</v>
      </c>
      <c r="K16" s="271">
        <f t="shared" si="0"/>
        <v>1</v>
      </c>
      <c r="L16" s="271">
        <f>IF(AND(D16="K",K16=1),'Maturity Rating'!$E$8,IF(K16="NA",K16,IF(D16="K",K16*'Maturity Rating'!$E$7,K16)))</f>
        <v>1</v>
      </c>
      <c r="M16" s="338">
        <f>IF(X16="NANANANA",K16,AVERAGE(L16:L19))</f>
        <v>2</v>
      </c>
      <c r="N16" s="338">
        <f>IF(M16&lt;1.1,1,IF(M16="NA",M16,(MIN(5,M16/3*5))))</f>
        <v>3.333333333333333</v>
      </c>
      <c r="O16" s="363" t="str">
        <f>IF(N16="NA",N16,VLOOKUP(Q16,'Maturity Rating'!G4:H8,2,FALSE))</f>
        <v>Defined</v>
      </c>
      <c r="P16" s="27"/>
      <c r="Q16" s="27">
        <f>IF(N16="NA",N16,ROUNDDOWN(N16,0))</f>
        <v>3</v>
      </c>
      <c r="S16" s="114">
        <f>VLOOKUP(G16,'Maturity Rating'!A$2:B$5,2,FALSE)</f>
        <v>1</v>
      </c>
      <c r="T16" s="114">
        <f>VLOOKUP(H16,'Maturity Rating'!A$8:B$11,2,FALSE)</f>
        <v>1</v>
      </c>
      <c r="U16" s="114" t="str">
        <f>VLOOKUP(I16,'Maturity Rating'!A$14:B$17,2,FALSE)</f>
        <v>NA</v>
      </c>
      <c r="V16" s="114" t="str">
        <f>VLOOKUP(J16,'Maturity Rating'!A$20:B$23,2,FALSE)</f>
        <v>NA</v>
      </c>
      <c r="W16" t="str">
        <f t="shared" si="1"/>
        <v>11NANA</v>
      </c>
      <c r="X16" t="str">
        <f>CONCATENATE(L16,L17,L18,L19)</f>
        <v>1331</v>
      </c>
    </row>
    <row r="17" spans="1:25" ht="30" customHeight="1">
      <c r="A17" s="74">
        <v>15.14</v>
      </c>
      <c r="B17" s="356"/>
      <c r="C17" s="358"/>
      <c r="D17" s="257"/>
      <c r="E17" s="266" t="s">
        <v>622</v>
      </c>
      <c r="F17" s="55" t="s">
        <v>89</v>
      </c>
      <c r="G17" s="263" t="s">
        <v>118</v>
      </c>
      <c r="H17" s="99" t="s">
        <v>100</v>
      </c>
      <c r="I17" s="263" t="s">
        <v>120</v>
      </c>
      <c r="J17" s="263" t="s">
        <v>129</v>
      </c>
      <c r="K17" s="271">
        <f t="shared" si="0"/>
        <v>3</v>
      </c>
      <c r="L17" s="273">
        <f>IF(AND(D17="K",K17=1),'Maturity Rating'!$E$8,IF(K17="NA",K17,IF(D17="K",K17*'Maturity Rating'!$E$7,K17)))</f>
        <v>3</v>
      </c>
      <c r="M17" s="339"/>
      <c r="N17" s="339"/>
      <c r="O17" s="361"/>
      <c r="P17" s="27"/>
      <c r="Q17" s="229"/>
      <c r="S17" s="114">
        <f>VLOOKUP(G17,'Maturity Rating'!A$2:B$5,2,FALSE)</f>
        <v>3</v>
      </c>
      <c r="T17" s="114">
        <f>VLOOKUP(H17,'Maturity Rating'!A$8:B$11,2,FALSE)</f>
        <v>3</v>
      </c>
      <c r="U17" s="114">
        <f>VLOOKUP(I17,'Maturity Rating'!A$14:B$17,2,FALSE)</f>
        <v>3</v>
      </c>
      <c r="V17" s="114">
        <f>VLOOKUP(J17,'Maturity Rating'!A$20:B$23,2,FALSE)</f>
        <v>3</v>
      </c>
      <c r="W17" t="str">
        <f t="shared" si="1"/>
        <v>3333</v>
      </c>
    </row>
    <row r="18" spans="1:25" ht="30" customHeight="1">
      <c r="A18" s="74">
        <v>15.15</v>
      </c>
      <c r="B18" s="356"/>
      <c r="C18" s="358"/>
      <c r="D18" s="257"/>
      <c r="E18" s="266" t="s">
        <v>623</v>
      </c>
      <c r="F18" s="55" t="s">
        <v>89</v>
      </c>
      <c r="G18" s="263" t="s">
        <v>118</v>
      </c>
      <c r="H18" s="99" t="s">
        <v>100</v>
      </c>
      <c r="I18" s="263" t="s">
        <v>120</v>
      </c>
      <c r="J18" s="263" t="s">
        <v>129</v>
      </c>
      <c r="K18" s="271">
        <f t="shared" si="0"/>
        <v>3</v>
      </c>
      <c r="L18" s="273">
        <f>IF(AND(D18="K",K18=1),'Maturity Rating'!$E$8,IF(K18="NA",K18,IF(D18="K",K18*'Maturity Rating'!$E$7,K18)))</f>
        <v>3</v>
      </c>
      <c r="M18" s="339"/>
      <c r="N18" s="339"/>
      <c r="O18" s="361"/>
      <c r="P18" s="27"/>
      <c r="Q18" s="27"/>
      <c r="S18" s="114">
        <f>VLOOKUP(G18,'Maturity Rating'!A$2:B$5,2,FALSE)</f>
        <v>3</v>
      </c>
      <c r="T18" s="114">
        <f>VLOOKUP(H18,'Maturity Rating'!A$8:B$11,2,FALSE)</f>
        <v>3</v>
      </c>
      <c r="U18" s="114">
        <f>VLOOKUP(I18,'Maturity Rating'!A$14:B$17,2,FALSE)</f>
        <v>3</v>
      </c>
      <c r="V18" s="114">
        <f>VLOOKUP(J18,'Maturity Rating'!A$20:B$23,2,FALSE)</f>
        <v>3</v>
      </c>
      <c r="W18" t="str">
        <f t="shared" si="1"/>
        <v>3333</v>
      </c>
    </row>
    <row r="19" spans="1:25" s="123" customFormat="1" ht="29.5" thickBot="1">
      <c r="A19" s="120">
        <v>15.16</v>
      </c>
      <c r="B19" s="376"/>
      <c r="C19" s="360"/>
      <c r="D19" s="59"/>
      <c r="E19" s="268" t="s">
        <v>624</v>
      </c>
      <c r="F19" s="59" t="s">
        <v>89</v>
      </c>
      <c r="G19" s="259" t="s">
        <v>127</v>
      </c>
      <c r="H19" s="99" t="s">
        <v>95</v>
      </c>
      <c r="I19" s="59" t="s">
        <v>91</v>
      </c>
      <c r="J19" s="59" t="s">
        <v>91</v>
      </c>
      <c r="K19" s="121">
        <f t="shared" si="0"/>
        <v>1</v>
      </c>
      <c r="L19" s="121">
        <f>IF(AND(D19="K",K19=1),'Maturity Rating'!$E$8,IF(K19="NA",K19,IF(D19="K",K19*'Maturity Rating'!$E$7,K19)))</f>
        <v>1</v>
      </c>
      <c r="M19" s="340"/>
      <c r="N19" s="340"/>
      <c r="O19" s="362"/>
      <c r="P19" s="231"/>
      <c r="Q19" s="231"/>
      <c r="R19" s="232"/>
      <c r="S19" s="60">
        <f>VLOOKUP(G19,'Maturity Rating'!A$2:B$5,2,FALSE)</f>
        <v>1</v>
      </c>
      <c r="T19" s="60">
        <f>VLOOKUP(H19,'Maturity Rating'!A$8:B$11,2,FALSE)</f>
        <v>1</v>
      </c>
      <c r="U19" s="60" t="str">
        <f>VLOOKUP(I19,'Maturity Rating'!A$14:B$17,2,FALSE)</f>
        <v>NA</v>
      </c>
      <c r="V19" s="60" t="str">
        <f>VLOOKUP(J19,'Maturity Rating'!A$20:B$23,2,FALSE)</f>
        <v>NA</v>
      </c>
      <c r="W19" s="232" t="str">
        <f t="shared" si="1"/>
        <v>11NANA</v>
      </c>
      <c r="X19" s="232"/>
      <c r="Y19" s="232"/>
    </row>
    <row r="20" spans="1:25" ht="32.25" customHeight="1">
      <c r="A20" s="36">
        <v>15.17</v>
      </c>
      <c r="B20" s="355" t="s">
        <v>625</v>
      </c>
      <c r="C20" s="357" t="s">
        <v>626</v>
      </c>
      <c r="D20" s="256" t="s">
        <v>87</v>
      </c>
      <c r="E20" s="51" t="s">
        <v>627</v>
      </c>
      <c r="F20" s="56" t="s">
        <v>89</v>
      </c>
      <c r="G20" s="263" t="s">
        <v>118</v>
      </c>
      <c r="H20" s="56" t="s">
        <v>100</v>
      </c>
      <c r="I20" s="99" t="s">
        <v>120</v>
      </c>
      <c r="J20" s="99" t="s">
        <v>129</v>
      </c>
      <c r="K20" s="271">
        <f t="shared" si="0"/>
        <v>3</v>
      </c>
      <c r="L20" s="271">
        <f>IF(AND(D20="K",K20=1),'Maturity Rating'!$E$8,IF(K20="NA",K20,IF(D20="K",K20*'Maturity Rating'!$E$7,K20)))</f>
        <v>3.5999999999999996</v>
      </c>
      <c r="M20" s="338">
        <f>IF(X20="NANANANA",K20,AVERAGE(L20:L25))</f>
        <v>2.4333333333333331</v>
      </c>
      <c r="N20" s="338">
        <f>IF(M20&lt;1.1,1,IF(M20="NA",M20,(MIN(5,M20/3*5))))</f>
        <v>4.0555555555555554</v>
      </c>
      <c r="O20" s="363" t="str">
        <f>IF(N20="NA",N20,VLOOKUP(Q20,'Maturity Rating'!G4:H8,2,FALSE))</f>
        <v>Repeatable</v>
      </c>
      <c r="P20" s="27"/>
      <c r="Q20" s="27">
        <f>IF(N20="NA",N20,ROUNDDOWN(N20,0))</f>
        <v>4</v>
      </c>
      <c r="S20" s="114">
        <f>VLOOKUP(G20,'Maturity Rating'!A$2:B$5,2,FALSE)</f>
        <v>3</v>
      </c>
      <c r="T20" s="114">
        <f>VLOOKUP(H20,'Maturity Rating'!A$8:B$11,2,FALSE)</f>
        <v>3</v>
      </c>
      <c r="U20" s="114">
        <f>VLOOKUP(I20,'Maturity Rating'!A$14:B$17,2,FALSE)</f>
        <v>3</v>
      </c>
      <c r="V20" s="114">
        <f>VLOOKUP(J20,'Maturity Rating'!A$20:B$23,2,FALSE)</f>
        <v>3</v>
      </c>
      <c r="W20" t="str">
        <f t="shared" si="1"/>
        <v>3333</v>
      </c>
      <c r="X20" t="str">
        <f>CONCATENATE(L20,L21,L22,L23,L24,L25)</f>
        <v>3.611333</v>
      </c>
    </row>
    <row r="21" spans="1:25" ht="29">
      <c r="A21" s="74">
        <v>15.18</v>
      </c>
      <c r="B21" s="356"/>
      <c r="C21" s="358"/>
      <c r="D21" s="257"/>
      <c r="E21" s="266" t="s">
        <v>628</v>
      </c>
      <c r="F21" s="275" t="s">
        <v>89</v>
      </c>
      <c r="G21" s="263" t="s">
        <v>127</v>
      </c>
      <c r="H21" s="275" t="s">
        <v>95</v>
      </c>
      <c r="I21" s="99" t="s">
        <v>91</v>
      </c>
      <c r="J21" s="99" t="s">
        <v>102</v>
      </c>
      <c r="K21" s="271">
        <f t="shared" si="0"/>
        <v>1</v>
      </c>
      <c r="L21" s="273">
        <f>IF(AND(D21="K",K21=1),'Maturity Rating'!$E$8,IF(K21="NA",K21,IF(D21="K",K21*'Maturity Rating'!$E$7,K21)))</f>
        <v>1</v>
      </c>
      <c r="M21" s="339"/>
      <c r="N21" s="339"/>
      <c r="O21" s="361"/>
      <c r="S21" s="114">
        <f>VLOOKUP(G21,'Maturity Rating'!A$2:B$5,2,FALSE)</f>
        <v>1</v>
      </c>
      <c r="T21" s="114">
        <f>VLOOKUP(H21,'Maturity Rating'!A$8:B$11,2,FALSE)</f>
        <v>1</v>
      </c>
      <c r="U21" s="114" t="str">
        <f>VLOOKUP(I21,'Maturity Rating'!A$14:B$17,2,FALSE)</f>
        <v>NA</v>
      </c>
      <c r="V21" s="114">
        <f>VLOOKUP(J21,'Maturity Rating'!A$20:B$23,2,FALSE)</f>
        <v>1</v>
      </c>
      <c r="W21" t="str">
        <f t="shared" si="1"/>
        <v>11NA1</v>
      </c>
    </row>
    <row r="22" spans="1:25" ht="29">
      <c r="A22" s="74">
        <v>15.19</v>
      </c>
      <c r="B22" s="356"/>
      <c r="C22" s="358"/>
      <c r="D22" s="257"/>
      <c r="E22" s="266" t="s">
        <v>629</v>
      </c>
      <c r="F22" s="257" t="s">
        <v>89</v>
      </c>
      <c r="G22" s="263" t="s">
        <v>127</v>
      </c>
      <c r="H22" s="257" t="s">
        <v>95</v>
      </c>
      <c r="I22" s="99" t="s">
        <v>91</v>
      </c>
      <c r="J22" s="99" t="s">
        <v>91</v>
      </c>
      <c r="K22" s="271">
        <f t="shared" si="0"/>
        <v>1</v>
      </c>
      <c r="L22" s="273">
        <f>IF(AND(D22="K",K22=1),'Maturity Rating'!$E$8,IF(K22="NA",K22,IF(D22="K",K22*'Maturity Rating'!$E$7,K22)))</f>
        <v>1</v>
      </c>
      <c r="M22" s="339"/>
      <c r="N22" s="339"/>
      <c r="O22" s="361"/>
      <c r="S22" s="114">
        <f>VLOOKUP(G22,'Maturity Rating'!A$2:B$5,2,FALSE)</f>
        <v>1</v>
      </c>
      <c r="T22" s="114">
        <f>VLOOKUP(H22,'Maturity Rating'!A$8:B$11,2,FALSE)</f>
        <v>1</v>
      </c>
      <c r="U22" s="114" t="str">
        <f>VLOOKUP(I22,'Maturity Rating'!A$14:B$17,2,FALSE)</f>
        <v>NA</v>
      </c>
      <c r="V22" s="114" t="str">
        <f>VLOOKUP(J22,'Maturity Rating'!A$20:B$23,2,FALSE)</f>
        <v>NA</v>
      </c>
      <c r="W22" t="str">
        <f t="shared" si="1"/>
        <v>11NANA</v>
      </c>
    </row>
    <row r="23" spans="1:25">
      <c r="A23" s="74" t="s">
        <v>603</v>
      </c>
      <c r="B23" s="356"/>
      <c r="C23" s="358"/>
      <c r="D23" s="257"/>
      <c r="E23" s="266" t="s">
        <v>630</v>
      </c>
      <c r="F23" s="55" t="s">
        <v>105</v>
      </c>
      <c r="G23" s="263" t="s">
        <v>118</v>
      </c>
      <c r="H23" s="257" t="s">
        <v>100</v>
      </c>
      <c r="I23" s="99" t="s">
        <v>120</v>
      </c>
      <c r="J23" s="99" t="s">
        <v>129</v>
      </c>
      <c r="K23" s="271">
        <f t="shared" si="0"/>
        <v>3</v>
      </c>
      <c r="L23" s="273">
        <f>IF(AND(D23="K",K23=1),'Maturity Rating'!$E$8,IF(K23="NA",K23,IF(D23="K",K23*'Maturity Rating'!$E$7,K23)))</f>
        <v>3</v>
      </c>
      <c r="M23" s="339"/>
      <c r="N23" s="339"/>
      <c r="O23" s="361"/>
      <c r="S23" s="114">
        <f>VLOOKUP(G23,'Maturity Rating'!A$2:B$5,2,FALSE)</f>
        <v>3</v>
      </c>
      <c r="T23" s="114">
        <f>VLOOKUP(H23,'Maturity Rating'!A$8:B$11,2,FALSE)</f>
        <v>3</v>
      </c>
      <c r="U23" s="114">
        <f>VLOOKUP(I23,'Maturity Rating'!A$14:B$17,2,FALSE)</f>
        <v>3</v>
      </c>
      <c r="V23" s="114">
        <f>VLOOKUP(J23,'Maturity Rating'!A$20:B$23,2,FALSE)</f>
        <v>3</v>
      </c>
      <c r="W23" t="str">
        <f t="shared" si="1"/>
        <v>3333</v>
      </c>
    </row>
    <row r="24" spans="1:25" ht="29">
      <c r="A24" s="74">
        <v>15.21</v>
      </c>
      <c r="B24" s="356"/>
      <c r="C24" s="358"/>
      <c r="D24" s="257"/>
      <c r="E24" s="266" t="s">
        <v>631</v>
      </c>
      <c r="F24" s="55" t="s">
        <v>89</v>
      </c>
      <c r="G24" s="263" t="s">
        <v>118</v>
      </c>
      <c r="H24" s="257" t="s">
        <v>100</v>
      </c>
      <c r="I24" s="99" t="s">
        <v>120</v>
      </c>
      <c r="J24" s="99" t="s">
        <v>129</v>
      </c>
      <c r="K24" s="271">
        <f t="shared" si="0"/>
        <v>3</v>
      </c>
      <c r="L24" s="273">
        <f>IF(AND(D24="K",K24=1),'Maturity Rating'!$E$8,IF(K24="NA",K24,IF(D24="K",K24*'Maturity Rating'!$E$7,K24)))</f>
        <v>3</v>
      </c>
      <c r="M24" s="339"/>
      <c r="N24" s="339"/>
      <c r="O24" s="361"/>
      <c r="S24" s="114">
        <f>VLOOKUP(G24,'Maturity Rating'!A$2:B$5,2,FALSE)</f>
        <v>3</v>
      </c>
      <c r="T24" s="114">
        <f>VLOOKUP(H24,'Maturity Rating'!A$8:B$11,2,FALSE)</f>
        <v>3</v>
      </c>
      <c r="U24" s="114">
        <f>VLOOKUP(I24,'Maturity Rating'!A$14:B$17,2,FALSE)</f>
        <v>3</v>
      </c>
      <c r="V24" s="114">
        <f>VLOOKUP(J24,'Maturity Rating'!A$20:B$23,2,FALSE)</f>
        <v>3</v>
      </c>
      <c r="W24" t="str">
        <f t="shared" si="1"/>
        <v>3333</v>
      </c>
    </row>
    <row r="25" spans="1:25" s="123" customFormat="1" ht="44.25" customHeight="1" thickBot="1">
      <c r="A25" s="120">
        <v>15.22</v>
      </c>
      <c r="B25" s="376"/>
      <c r="C25" s="360"/>
      <c r="D25" s="59"/>
      <c r="E25" s="268" t="s">
        <v>632</v>
      </c>
      <c r="F25" s="59" t="s">
        <v>89</v>
      </c>
      <c r="G25" s="259" t="s">
        <v>118</v>
      </c>
      <c r="H25" s="59" t="s">
        <v>100</v>
      </c>
      <c r="I25" s="59" t="s">
        <v>120</v>
      </c>
      <c r="J25" s="59" t="s">
        <v>129</v>
      </c>
      <c r="K25" s="121">
        <f t="shared" si="0"/>
        <v>3</v>
      </c>
      <c r="L25" s="121">
        <f>IF(AND(D25="K",K25=1),'Maturity Rating'!$E$8,IF(K25="NA",K25,IF(D25="K",K25*'Maturity Rating'!$E$7,K25)))</f>
        <v>3</v>
      </c>
      <c r="M25" s="340"/>
      <c r="N25" s="340"/>
      <c r="O25" s="362"/>
      <c r="P25" s="232"/>
      <c r="Q25" s="232"/>
      <c r="R25" s="232"/>
      <c r="S25" s="60">
        <f>VLOOKUP(G25,'Maturity Rating'!A$2:B$5,2,FALSE)</f>
        <v>3</v>
      </c>
      <c r="T25" s="60">
        <f>VLOOKUP(H25,'Maturity Rating'!A$8:B$11,2,FALSE)</f>
        <v>3</v>
      </c>
      <c r="U25" s="60">
        <f>VLOOKUP(I25,'Maturity Rating'!A$14:B$17,2,FALSE)</f>
        <v>3</v>
      </c>
      <c r="V25" s="60">
        <f>VLOOKUP(J25,'Maturity Rating'!A$20:B$23,2,FALSE)</f>
        <v>3</v>
      </c>
      <c r="W25" s="232" t="str">
        <f t="shared" si="1"/>
        <v>3333</v>
      </c>
      <c r="X25" s="232"/>
      <c r="Y25" s="232"/>
    </row>
  </sheetData>
  <mergeCells count="21">
    <mergeCell ref="C1:D1"/>
    <mergeCell ref="B20:B25"/>
    <mergeCell ref="C20:C25"/>
    <mergeCell ref="B4:B6"/>
    <mergeCell ref="C4:C6"/>
    <mergeCell ref="B7:B15"/>
    <mergeCell ref="C7:C15"/>
    <mergeCell ref="B16:B19"/>
    <mergeCell ref="C16:C19"/>
    <mergeCell ref="O4:O6"/>
    <mergeCell ref="O7:O15"/>
    <mergeCell ref="O16:O19"/>
    <mergeCell ref="O20:O25"/>
    <mergeCell ref="M4:M6"/>
    <mergeCell ref="N4:N6"/>
    <mergeCell ref="M7:M15"/>
    <mergeCell ref="M16:M19"/>
    <mergeCell ref="M20:M25"/>
    <mergeCell ref="N7:N15"/>
    <mergeCell ref="N16:N19"/>
    <mergeCell ref="N20:N25"/>
  </mergeCells>
  <pageMargins left="0.7" right="0.7" top="0.75" bottom="0.75" header="0.3" footer="0.3"/>
  <pageSetup paperSize="9" orientation="portrait" r:id="rId1"/>
  <ignoredErrors>
    <ignoredError sqref="E1:F1 K5:O25 K4:L4 N4:O4" evalError="1"/>
  </ignoredErrors>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1200-000000000000}">
          <x14:formula1>
            <xm:f>'Maturity Rating'!$A$8:$A$11</xm:f>
          </x14:formula1>
          <xm:sqref>H4:H25</xm:sqref>
        </x14:dataValidation>
        <x14:dataValidation type="list" allowBlank="1" showInputMessage="1" showErrorMessage="1" xr:uid="{00000000-0002-0000-1200-000001000000}">
          <x14:formula1>
            <xm:f>'Maturity Rating'!$A$20:$A$23</xm:f>
          </x14:formula1>
          <xm:sqref>J4:J25</xm:sqref>
        </x14:dataValidation>
        <x14:dataValidation type="list" allowBlank="1" showInputMessage="1" showErrorMessage="1" xr:uid="{00000000-0002-0000-1200-000002000000}">
          <x14:formula1>
            <xm:f>'Maturity Rating'!$A$14:$A$17</xm:f>
          </x14:formula1>
          <xm:sqref>I4:I25</xm:sqref>
        </x14:dataValidation>
        <x14:dataValidation type="list" allowBlank="1" showInputMessage="1" showErrorMessage="1" xr:uid="{00000000-0002-0000-1200-000003000000}">
          <x14:formula1>
            <xm:f>'Maturity Rating'!$A$2:$A$5</xm:f>
          </x14:formula1>
          <xm:sqref>G4:G25</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2"/>
  </sheetPr>
  <dimension ref="A1:Y26"/>
  <sheetViews>
    <sheetView showGridLines="0" topLeftCell="D1" zoomScale="61" zoomScaleNormal="60" workbookViewId="0">
      <selection activeCell="I24" sqref="I24"/>
    </sheetView>
  </sheetViews>
  <sheetFormatPr defaultColWidth="9.08984375" defaultRowHeight="14.5"/>
  <cols>
    <col min="1" max="1" width="10.90625" style="22" customWidth="1"/>
    <col min="2" max="2" width="23.08984375" style="24" customWidth="1"/>
    <col min="3" max="3" width="34.90625" style="25" customWidth="1"/>
    <col min="4" max="4" width="25" style="25" customWidth="1"/>
    <col min="5" max="5" width="79.1796875" style="24" customWidth="1"/>
    <col min="6" max="6" width="31.36328125" style="62" customWidth="1"/>
    <col min="7" max="8" width="20.6328125" style="62" customWidth="1"/>
    <col min="9" max="9" width="20.90625" style="62" bestFit="1" customWidth="1"/>
    <col min="10" max="10" width="20.6328125" style="62" customWidth="1"/>
    <col min="11" max="11" width="13.6328125" style="24" bestFit="1" customWidth="1"/>
    <col min="12" max="12" width="26.36328125" style="24" customWidth="1"/>
    <col min="13" max="13" width="18.81640625" style="24" customWidth="1"/>
    <col min="14" max="14" width="20.90625" style="24" customWidth="1"/>
    <col min="15" max="15" width="13.6328125" style="24" customWidth="1"/>
    <col min="16" max="16" width="3.36328125" customWidth="1"/>
    <col min="17" max="17" width="3.90625" hidden="1" customWidth="1"/>
    <col min="18" max="18" width="4.54296875" hidden="1" customWidth="1"/>
    <col min="19" max="19" width="4.6328125" style="189" hidden="1" customWidth="1"/>
    <col min="20" max="20" width="5.36328125" style="189" hidden="1" customWidth="1"/>
    <col min="21" max="21" width="6" style="189" hidden="1" customWidth="1"/>
    <col min="22" max="22" width="7.54296875" style="189" hidden="1" customWidth="1"/>
    <col min="23" max="23" width="7.08984375" hidden="1" customWidth="1"/>
    <col min="24" max="24" width="9.6328125" hidden="1" customWidth="1"/>
    <col min="26" max="16384" width="9.08984375" style="24"/>
  </cols>
  <sheetData>
    <row r="1" spans="1:25" ht="22.5" customHeight="1" thickBot="1">
      <c r="C1" s="353" t="s">
        <v>66</v>
      </c>
      <c r="D1" s="354"/>
      <c r="E1" s="45" t="str">
        <f>IF(F1="NA","Not Applicable",VLOOKUP(T1,'Maturity Rating'!G4:H8,2,FALSE))</f>
        <v>Defined</v>
      </c>
      <c r="F1" s="46">
        <f>IF(J1="NANANA","NA",AVERAGE(N4:N25))</f>
        <v>3.6158119658119658</v>
      </c>
      <c r="G1" s="22"/>
      <c r="I1" s="86"/>
      <c r="J1" s="83"/>
      <c r="K1" s="84"/>
      <c r="Q1" s="224"/>
      <c r="S1"/>
      <c r="T1" s="230">
        <f>ROUNDDOWN(F1,0)</f>
        <v>3</v>
      </c>
      <c r="U1" s="98" t="str">
        <f>CONCATENATE(N4,N8,N21)</f>
        <v>4.416666666666673.230769230769233.2</v>
      </c>
      <c r="V1"/>
    </row>
    <row r="2" spans="1:25" ht="15" thickBot="1"/>
    <row r="3" spans="1:25" s="22" customFormat="1" ht="30.75" customHeight="1" thickBot="1">
      <c r="A3" s="88" t="s">
        <v>2</v>
      </c>
      <c r="B3" s="81" t="s">
        <v>67</v>
      </c>
      <c r="C3" s="81" t="s">
        <v>68</v>
      </c>
      <c r="D3" s="81" t="s">
        <v>69</v>
      </c>
      <c r="E3" s="81" t="s">
        <v>70</v>
      </c>
      <c r="F3" s="81" t="s">
        <v>71</v>
      </c>
      <c r="G3" s="81" t="s">
        <v>72</v>
      </c>
      <c r="H3" s="81" t="s">
        <v>73</v>
      </c>
      <c r="I3" s="81" t="s">
        <v>74</v>
      </c>
      <c r="J3" s="81" t="s">
        <v>75</v>
      </c>
      <c r="K3" s="81" t="s">
        <v>76</v>
      </c>
      <c r="L3" s="81" t="s">
        <v>77</v>
      </c>
      <c r="M3" s="81" t="s">
        <v>78</v>
      </c>
      <c r="N3" s="81" t="s">
        <v>79</v>
      </c>
      <c r="O3" s="89" t="s">
        <v>80</v>
      </c>
      <c r="P3"/>
      <c r="Q3"/>
      <c r="R3"/>
      <c r="S3" s="227" t="s">
        <v>81</v>
      </c>
      <c r="T3" s="227" t="s">
        <v>82</v>
      </c>
      <c r="U3" s="227" t="s">
        <v>83</v>
      </c>
      <c r="V3" s="227" t="s">
        <v>84</v>
      </c>
      <c r="W3" s="228"/>
      <c r="X3" s="228"/>
      <c r="Y3" s="228"/>
    </row>
    <row r="4" spans="1:25" ht="43.5" customHeight="1">
      <c r="A4" s="93">
        <v>16.100000000000001</v>
      </c>
      <c r="B4" s="356" t="s">
        <v>85</v>
      </c>
      <c r="C4" s="364" t="s">
        <v>633</v>
      </c>
      <c r="D4" s="263" t="s">
        <v>87</v>
      </c>
      <c r="E4" s="147" t="s">
        <v>634</v>
      </c>
      <c r="F4" s="263" t="s">
        <v>89</v>
      </c>
      <c r="G4" s="263" t="s">
        <v>118</v>
      </c>
      <c r="H4" s="263" t="s">
        <v>100</v>
      </c>
      <c r="I4" s="263" t="s">
        <v>120</v>
      </c>
      <c r="J4" s="263" t="s">
        <v>129</v>
      </c>
      <c r="K4" s="271">
        <f>IF(W4="NANANANA",S4,IF(AND(OR(G4="Formally Documented",G4="Informally Documented"),H4="Not Implemented"),0.5*AVERAGE(S4:V4),AVERAGE(S4:V4)))</f>
        <v>3</v>
      </c>
      <c r="L4" s="271">
        <f>IF(AND(D4="K",K4=1),'Maturity Rating'!$E$8,IF(K4="NA",K4,IF(D4="K",K4*'Maturity Rating'!$E$7,K4)))</f>
        <v>3.5999999999999996</v>
      </c>
      <c r="M4" s="339">
        <f>IF(X4="NANANANA",K4,AVERAGE(L4:L7))</f>
        <v>2.65</v>
      </c>
      <c r="N4" s="339">
        <f>IF(M4&lt;1.1,1,IF(M4="NA",M4,(MIN(5,M4/3*5))))</f>
        <v>4.4166666666666661</v>
      </c>
      <c r="O4" s="351" t="str">
        <f>IF(N4="NA",N4,VLOOKUP(Q4,'Maturity Rating'!G4:H8,2,FALSE))</f>
        <v>Repeatable</v>
      </c>
      <c r="P4" s="27"/>
      <c r="Q4" s="229">
        <f>IF(N4="NA",N4,ROUNDDOWN(N4,0))</f>
        <v>4</v>
      </c>
      <c r="S4" s="114">
        <f>VLOOKUP(G4,'Maturity Rating'!A$2:B$5,2,FALSE)</f>
        <v>3</v>
      </c>
      <c r="T4" s="114">
        <f>VLOOKUP(H4,'Maturity Rating'!A$8:B$11,2,FALSE)</f>
        <v>3</v>
      </c>
      <c r="U4" s="114">
        <f>VLOOKUP(I4,'Maturity Rating'!A$14:B$17,2,FALSE)</f>
        <v>3</v>
      </c>
      <c r="V4" s="114">
        <f>VLOOKUP(J4,'Maturity Rating'!A$20:B$23,2,FALSE)</f>
        <v>3</v>
      </c>
      <c r="W4" t="str">
        <f>CONCATENATE(S4,T4,U4,V4)</f>
        <v>3333</v>
      </c>
      <c r="X4" t="str">
        <f>CONCATENATE(L4,L5,L6,L7)</f>
        <v>3.6331</v>
      </c>
    </row>
    <row r="5" spans="1:25" ht="29">
      <c r="A5" s="74">
        <v>16.2</v>
      </c>
      <c r="B5" s="356"/>
      <c r="C5" s="365"/>
      <c r="D5" s="257"/>
      <c r="E5" s="266" t="s">
        <v>524</v>
      </c>
      <c r="F5" s="257" t="s">
        <v>89</v>
      </c>
      <c r="G5" s="263" t="s">
        <v>118</v>
      </c>
      <c r="H5" s="257" t="s">
        <v>100</v>
      </c>
      <c r="I5" s="257" t="s">
        <v>120</v>
      </c>
      <c r="J5" s="257" t="s">
        <v>129</v>
      </c>
      <c r="K5" s="271">
        <f t="shared" ref="K5:K25" si="0">IF(W5="NANANANA",S5,IF(AND(OR(G5="Formally Documented",G5="Informally Documented"),H5="Not Implemented"),0.5*AVERAGE(S5:V5),AVERAGE(S5:V5)))</f>
        <v>3</v>
      </c>
      <c r="L5" s="271">
        <f>IF(AND(D5="K",K5=1),'Maturity Rating'!$E$8,IF(K5="NA",K5,IF(D5="K",K5*'Maturity Rating'!$E$7,K5)))</f>
        <v>3</v>
      </c>
      <c r="M5" s="339"/>
      <c r="N5" s="339"/>
      <c r="O5" s="342"/>
      <c r="P5" s="27"/>
      <c r="Q5" s="229"/>
      <c r="S5" s="114">
        <f>VLOOKUP(G5,'Maturity Rating'!A$2:B$5,2,FALSE)</f>
        <v>3</v>
      </c>
      <c r="T5" s="114">
        <f>VLOOKUP(H5,'Maturity Rating'!A$8:B$11,2,FALSE)</f>
        <v>3</v>
      </c>
      <c r="U5" s="114">
        <f>VLOOKUP(I5,'Maturity Rating'!A$14:B$17,2,FALSE)</f>
        <v>3</v>
      </c>
      <c r="V5" s="114">
        <f>VLOOKUP(J5,'Maturity Rating'!A$20:B$23,2,FALSE)</f>
        <v>3</v>
      </c>
      <c r="W5" t="str">
        <f t="shared" ref="W5:W25" si="1">CONCATENATE(S5,T5,U5,V5)</f>
        <v>3333</v>
      </c>
    </row>
    <row r="6" spans="1:25" ht="43.5">
      <c r="A6" s="74">
        <v>16.3</v>
      </c>
      <c r="B6" s="356"/>
      <c r="C6" s="365"/>
      <c r="D6" s="257"/>
      <c r="E6" s="266" t="s">
        <v>635</v>
      </c>
      <c r="F6" s="55" t="s">
        <v>89</v>
      </c>
      <c r="G6" s="263" t="s">
        <v>118</v>
      </c>
      <c r="H6" s="257" t="s">
        <v>100</v>
      </c>
      <c r="I6" s="257" t="s">
        <v>120</v>
      </c>
      <c r="J6" s="257" t="s">
        <v>129</v>
      </c>
      <c r="K6" s="271">
        <f t="shared" si="0"/>
        <v>3</v>
      </c>
      <c r="L6" s="271">
        <f>IF(AND(D6="K",K6=1),'Maturity Rating'!$E$8,IF(K6="NA",K6,IF(D6="K",K6*'Maturity Rating'!$E$7,K6)))</f>
        <v>3</v>
      </c>
      <c r="M6" s="339"/>
      <c r="N6" s="339"/>
      <c r="O6" s="342"/>
      <c r="P6" s="27"/>
      <c r="Q6" s="229"/>
      <c r="S6" s="114">
        <f>VLOOKUP(G6,'Maturity Rating'!A$2:B$5,2,FALSE)</f>
        <v>3</v>
      </c>
      <c r="T6" s="114">
        <f>VLOOKUP(H6,'Maturity Rating'!A$8:B$11,2,FALSE)</f>
        <v>3</v>
      </c>
      <c r="U6" s="114">
        <f>VLOOKUP(I6,'Maturity Rating'!A$14:B$17,2,FALSE)</f>
        <v>3</v>
      </c>
      <c r="V6" s="114">
        <f>VLOOKUP(J6,'Maturity Rating'!A$20:B$23,2,FALSE)</f>
        <v>3</v>
      </c>
      <c r="W6" t="str">
        <f t="shared" si="1"/>
        <v>3333</v>
      </c>
    </row>
    <row r="7" spans="1:25" ht="15" thickBot="1">
      <c r="A7" s="75">
        <v>16.399999999999999</v>
      </c>
      <c r="B7" s="376"/>
      <c r="C7" s="367"/>
      <c r="D7" s="259"/>
      <c r="E7" s="268" t="s">
        <v>198</v>
      </c>
      <c r="F7" s="259" t="s">
        <v>89</v>
      </c>
      <c r="G7" s="259" t="s">
        <v>127</v>
      </c>
      <c r="H7" s="259" t="s">
        <v>95</v>
      </c>
      <c r="I7" s="259" t="s">
        <v>206</v>
      </c>
      <c r="J7" s="259" t="s">
        <v>91</v>
      </c>
      <c r="K7" s="272">
        <f t="shared" si="0"/>
        <v>1</v>
      </c>
      <c r="L7" s="272">
        <f>IF(AND(D7="K",K7=1),'Maturity Rating'!$E$8,IF(K7="NA",K7,IF(D7="K",K7*'Maturity Rating'!$E$7,K7)))</f>
        <v>1</v>
      </c>
      <c r="M7" s="340"/>
      <c r="N7" s="340"/>
      <c r="O7" s="343"/>
      <c r="P7" s="27"/>
      <c r="Q7" s="27"/>
      <c r="S7" s="114">
        <f>VLOOKUP(G7,'Maturity Rating'!A$2:B$5,2,FALSE)</f>
        <v>1</v>
      </c>
      <c r="T7" s="114">
        <f>VLOOKUP(H7,'Maturity Rating'!A$8:B$11,2,FALSE)</f>
        <v>1</v>
      </c>
      <c r="U7" s="114">
        <f>VLOOKUP(I7,'Maturity Rating'!A$14:B$17,2,FALSE)</f>
        <v>1</v>
      </c>
      <c r="V7" s="114" t="str">
        <f>VLOOKUP(J7,'Maturity Rating'!A$20:B$23,2,FALSE)</f>
        <v>NA</v>
      </c>
      <c r="W7" t="str">
        <f t="shared" si="1"/>
        <v>111NA</v>
      </c>
    </row>
    <row r="8" spans="1:25" ht="30" customHeight="1">
      <c r="A8" s="36">
        <v>16.5</v>
      </c>
      <c r="B8" s="355" t="s">
        <v>636</v>
      </c>
      <c r="C8" s="357" t="s">
        <v>637</v>
      </c>
      <c r="D8" s="256" t="s">
        <v>87</v>
      </c>
      <c r="E8" s="51" t="s">
        <v>638</v>
      </c>
      <c r="F8" s="56" t="s">
        <v>89</v>
      </c>
      <c r="G8" s="256" t="s">
        <v>118</v>
      </c>
      <c r="H8" s="256" t="s">
        <v>100</v>
      </c>
      <c r="I8" s="256" t="s">
        <v>120</v>
      </c>
      <c r="J8" s="108" t="s">
        <v>102</v>
      </c>
      <c r="K8" s="278">
        <f t="shared" si="0"/>
        <v>2.5</v>
      </c>
      <c r="L8" s="278">
        <f>IF(AND(D8="K",K8=1),'Maturity Rating'!$E$8,IF(K8="NA",K8,IF(D8="K",K8*'Maturity Rating'!$E$7,K8)))</f>
        <v>3</v>
      </c>
      <c r="M8" s="338">
        <f>IF(X8="NANANANANANANANA",K8,AVERAGE(L8:L20))</f>
        <v>1.9384615384615387</v>
      </c>
      <c r="N8" s="338">
        <f>IF(M8&lt;1.1,1,IF(M8="NA",M8,(MIN(5,M8/3*5))))</f>
        <v>3.2307692307692308</v>
      </c>
      <c r="O8" s="341" t="str">
        <f>IF(N8="NA",N8,VLOOKUP(Q8,'Maturity Rating'!G4:H8,2,FALSE))</f>
        <v>Defined</v>
      </c>
      <c r="P8" s="27"/>
      <c r="Q8" s="229">
        <f>IF(N8="NA",N8,ROUNDDOWN(N8,0))</f>
        <v>3</v>
      </c>
      <c r="S8" s="114">
        <f>VLOOKUP(G8,'Maturity Rating'!A$2:B$5,2,FALSE)</f>
        <v>3</v>
      </c>
      <c r="T8" s="114">
        <f>VLOOKUP(H8,'Maturity Rating'!A$8:B$11,2,FALSE)</f>
        <v>3</v>
      </c>
      <c r="U8" s="114">
        <f>VLOOKUP(I8,'Maturity Rating'!A$14:B$17,2,FALSE)</f>
        <v>3</v>
      </c>
      <c r="V8" s="114">
        <f>VLOOKUP(J8,'Maturity Rating'!A$20:B$23,2,FALSE)</f>
        <v>1</v>
      </c>
      <c r="W8" t="str">
        <f t="shared" si="1"/>
        <v>3331</v>
      </c>
      <c r="X8" t="str">
        <f>CONCATENATE(L8,L9,L10,L11,L12,L13,L14,L15,L16,L17,L18,L19,L20)</f>
        <v>33130.830.8313.6111</v>
      </c>
    </row>
    <row r="9" spans="1:25" ht="29">
      <c r="A9" s="74">
        <v>16.600000000000001</v>
      </c>
      <c r="B9" s="356"/>
      <c r="C9" s="358"/>
      <c r="D9" s="257"/>
      <c r="E9" s="266" t="s">
        <v>639</v>
      </c>
      <c r="F9" s="55" t="s">
        <v>89</v>
      </c>
      <c r="G9" s="263" t="s">
        <v>118</v>
      </c>
      <c r="H9" s="263" t="s">
        <v>100</v>
      </c>
      <c r="I9" s="263" t="s">
        <v>120</v>
      </c>
      <c r="J9" s="87" t="s">
        <v>129</v>
      </c>
      <c r="K9" s="271">
        <f t="shared" si="0"/>
        <v>3</v>
      </c>
      <c r="L9" s="271">
        <f>IF(AND(D9="K",K9=1),'Maturity Rating'!$E$8,IF(K9="NA",K9,IF(D9="K",K9*'Maturity Rating'!$E$7,K9)))</f>
        <v>3</v>
      </c>
      <c r="M9" s="339"/>
      <c r="N9" s="339"/>
      <c r="O9" s="342"/>
      <c r="P9" s="27"/>
      <c r="Q9" s="27"/>
      <c r="S9" s="114">
        <f>VLOOKUP(G9,'Maturity Rating'!A$2:B$5,2,FALSE)</f>
        <v>3</v>
      </c>
      <c r="T9" s="114">
        <f>VLOOKUP(H9,'Maturity Rating'!A$8:B$11,2,FALSE)</f>
        <v>3</v>
      </c>
      <c r="U9" s="114">
        <f>VLOOKUP(I9,'Maturity Rating'!A$14:B$17,2,FALSE)</f>
        <v>3</v>
      </c>
      <c r="V9" s="114">
        <f>VLOOKUP(J9,'Maturity Rating'!A$20:B$23,2,FALSE)</f>
        <v>3</v>
      </c>
      <c r="W9" t="str">
        <f t="shared" si="1"/>
        <v>3333</v>
      </c>
    </row>
    <row r="10" spans="1:25" ht="29">
      <c r="A10" s="74">
        <v>16.7</v>
      </c>
      <c r="B10" s="356"/>
      <c r="C10" s="358"/>
      <c r="D10" s="257"/>
      <c r="E10" s="266" t="s">
        <v>640</v>
      </c>
      <c r="F10" s="55" t="s">
        <v>89</v>
      </c>
      <c r="G10" s="263" t="s">
        <v>127</v>
      </c>
      <c r="H10" s="263" t="s">
        <v>95</v>
      </c>
      <c r="I10" s="263" t="s">
        <v>206</v>
      </c>
      <c r="J10" s="87" t="s">
        <v>102</v>
      </c>
      <c r="K10" s="271">
        <f t="shared" si="0"/>
        <v>1</v>
      </c>
      <c r="L10" s="271">
        <f>IF(AND(D10="K",K10=1),'Maturity Rating'!$E$8,IF(K10="NA",K10,IF(D10="K",K10*'Maturity Rating'!$E$7,K10)))</f>
        <v>1</v>
      </c>
      <c r="M10" s="339"/>
      <c r="N10" s="339"/>
      <c r="O10" s="342"/>
      <c r="P10" s="27"/>
      <c r="Q10" s="27"/>
      <c r="S10" s="114">
        <f>VLOOKUP(G10,'Maturity Rating'!A$2:B$5,2,FALSE)</f>
        <v>1</v>
      </c>
      <c r="T10" s="114">
        <f>VLOOKUP(H10,'Maturity Rating'!A$8:B$11,2,FALSE)</f>
        <v>1</v>
      </c>
      <c r="U10" s="114">
        <f>VLOOKUP(I10,'Maturity Rating'!A$14:B$17,2,FALSE)</f>
        <v>1</v>
      </c>
      <c r="V10" s="114">
        <f>VLOOKUP(J10,'Maturity Rating'!A$20:B$23,2,FALSE)</f>
        <v>1</v>
      </c>
      <c r="W10" t="str">
        <f t="shared" si="1"/>
        <v>1111</v>
      </c>
    </row>
    <row r="11" spans="1:25" ht="29">
      <c r="A11" s="74">
        <v>16.8</v>
      </c>
      <c r="B11" s="356"/>
      <c r="C11" s="358"/>
      <c r="D11" s="257"/>
      <c r="E11" s="266" t="s">
        <v>641</v>
      </c>
      <c r="F11" s="55" t="s">
        <v>89</v>
      </c>
      <c r="G11" s="263" t="s">
        <v>118</v>
      </c>
      <c r="H11" s="263" t="s">
        <v>100</v>
      </c>
      <c r="I11" s="263" t="s">
        <v>120</v>
      </c>
      <c r="J11" s="87" t="s">
        <v>129</v>
      </c>
      <c r="K11" s="271">
        <f t="shared" si="0"/>
        <v>3</v>
      </c>
      <c r="L11" s="271">
        <f>IF(AND(D11="K",K11=1),'Maturity Rating'!$E$8,IF(K11="NA",K11,IF(D11="K",K11*'Maturity Rating'!$E$7,K11)))</f>
        <v>3</v>
      </c>
      <c r="M11" s="339"/>
      <c r="N11" s="339"/>
      <c r="O11" s="342"/>
      <c r="P11" s="27"/>
      <c r="Q11" s="27"/>
      <c r="S11" s="114">
        <f>VLOOKUP(G11,'Maturity Rating'!A$2:B$5,2,FALSE)</f>
        <v>3</v>
      </c>
      <c r="T11" s="114">
        <f>VLOOKUP(H11,'Maturity Rating'!A$8:B$11,2,FALSE)</f>
        <v>3</v>
      </c>
      <c r="U11" s="114">
        <f>VLOOKUP(I11,'Maturity Rating'!A$14:B$17,2,FALSE)</f>
        <v>3</v>
      </c>
      <c r="V11" s="114">
        <f>VLOOKUP(J11,'Maturity Rating'!A$20:B$23,2,FALSE)</f>
        <v>3</v>
      </c>
      <c r="W11" t="str">
        <f t="shared" si="1"/>
        <v>3333</v>
      </c>
    </row>
    <row r="12" spans="1:25" ht="72.5">
      <c r="A12" s="74">
        <v>16.899999999999999</v>
      </c>
      <c r="B12" s="356"/>
      <c r="C12" s="358"/>
      <c r="D12" s="257" t="s">
        <v>87</v>
      </c>
      <c r="E12" s="52" t="s">
        <v>642</v>
      </c>
      <c r="F12" s="257" t="s">
        <v>89</v>
      </c>
      <c r="G12" s="263" t="s">
        <v>127</v>
      </c>
      <c r="H12" s="263" t="s">
        <v>95</v>
      </c>
      <c r="I12" s="263" t="s">
        <v>206</v>
      </c>
      <c r="J12" s="87" t="s">
        <v>102</v>
      </c>
      <c r="K12" s="271">
        <f t="shared" si="0"/>
        <v>1</v>
      </c>
      <c r="L12" s="271">
        <f>IF(AND(D12="K",K12=1),'Maturity Rating'!$E$8,IF(K12="NA",K12,IF(D12="K",K12*'Maturity Rating'!$E$7,K12)))</f>
        <v>0.8</v>
      </c>
      <c r="M12" s="339"/>
      <c r="N12" s="339"/>
      <c r="O12" s="342"/>
      <c r="P12" s="27"/>
      <c r="Q12" s="27"/>
      <c r="S12" s="114">
        <f>VLOOKUP(G12,'Maturity Rating'!A$2:B$5,2,FALSE)</f>
        <v>1</v>
      </c>
      <c r="T12" s="114">
        <f>VLOOKUP(H12,'Maturity Rating'!A$8:B$11,2,FALSE)</f>
        <v>1</v>
      </c>
      <c r="U12" s="114">
        <f>VLOOKUP(I12,'Maturity Rating'!A$14:B$17,2,FALSE)</f>
        <v>1</v>
      </c>
      <c r="V12" s="114">
        <f>VLOOKUP(J12,'Maturity Rating'!A$20:B$23,2,FALSE)</f>
        <v>1</v>
      </c>
      <c r="W12" t="str">
        <f t="shared" si="1"/>
        <v>1111</v>
      </c>
    </row>
    <row r="13" spans="1:25">
      <c r="A13" s="150" t="s">
        <v>643</v>
      </c>
      <c r="B13" s="356"/>
      <c r="C13" s="358"/>
      <c r="D13" s="257"/>
      <c r="E13" s="266" t="s">
        <v>644</v>
      </c>
      <c r="F13" s="55" t="s">
        <v>89</v>
      </c>
      <c r="G13" s="263" t="s">
        <v>118</v>
      </c>
      <c r="H13" s="263" t="s">
        <v>100</v>
      </c>
      <c r="I13" s="263" t="s">
        <v>120</v>
      </c>
      <c r="J13" s="87" t="s">
        <v>129</v>
      </c>
      <c r="K13" s="271">
        <f t="shared" si="0"/>
        <v>3</v>
      </c>
      <c r="L13" s="271">
        <f>IF(AND(D13="K",K13=1),'Maturity Rating'!$E$8,IF(K13="NA",K13,IF(D13="K",K13*'Maturity Rating'!$E$7,K13)))</f>
        <v>3</v>
      </c>
      <c r="M13" s="339"/>
      <c r="N13" s="339"/>
      <c r="O13" s="342"/>
      <c r="P13" s="27"/>
      <c r="Q13" s="27"/>
      <c r="S13" s="114">
        <f>VLOOKUP(G13,'Maturity Rating'!A$2:B$5,2,FALSE)</f>
        <v>3</v>
      </c>
      <c r="T13" s="114">
        <f>VLOOKUP(H13,'Maturity Rating'!A$8:B$11,2,FALSE)</f>
        <v>3</v>
      </c>
      <c r="U13" s="114">
        <f>VLOOKUP(I13,'Maturity Rating'!A$14:B$17,2,FALSE)</f>
        <v>3</v>
      </c>
      <c r="V13" s="114">
        <f>VLOOKUP(J13,'Maturity Rating'!A$20:B$23,2,FALSE)</f>
        <v>3</v>
      </c>
      <c r="W13" t="str">
        <f t="shared" si="1"/>
        <v>3333</v>
      </c>
    </row>
    <row r="14" spans="1:25" ht="29">
      <c r="A14" s="74">
        <v>16.11</v>
      </c>
      <c r="B14" s="356"/>
      <c r="C14" s="358"/>
      <c r="D14" s="257" t="s">
        <v>87</v>
      </c>
      <c r="E14" s="52" t="s">
        <v>645</v>
      </c>
      <c r="F14" s="55" t="s">
        <v>89</v>
      </c>
      <c r="G14" s="263" t="s">
        <v>127</v>
      </c>
      <c r="H14" s="263" t="s">
        <v>95</v>
      </c>
      <c r="I14" s="263" t="s">
        <v>206</v>
      </c>
      <c r="J14" s="87" t="s">
        <v>102</v>
      </c>
      <c r="K14" s="271">
        <f t="shared" si="0"/>
        <v>1</v>
      </c>
      <c r="L14" s="271">
        <f>IF(AND(D14="K",K14=1),'Maturity Rating'!$E$8,IF(K14="NA",K14,IF(D14="K",K14*'Maturity Rating'!$E$7,K14)))</f>
        <v>0.8</v>
      </c>
      <c r="M14" s="339"/>
      <c r="N14" s="339"/>
      <c r="O14" s="342"/>
      <c r="P14" s="27"/>
      <c r="Q14" s="27"/>
      <c r="S14" s="114">
        <f>VLOOKUP(G14,'Maturity Rating'!A$2:B$5,2,FALSE)</f>
        <v>1</v>
      </c>
      <c r="T14" s="114">
        <f>VLOOKUP(H14,'Maturity Rating'!A$8:B$11,2,FALSE)</f>
        <v>1</v>
      </c>
      <c r="U14" s="114">
        <f>VLOOKUP(I14,'Maturity Rating'!A$14:B$17,2,FALSE)</f>
        <v>1</v>
      </c>
      <c r="V14" s="114">
        <f>VLOOKUP(J14,'Maturity Rating'!A$20:B$23,2,FALSE)</f>
        <v>1</v>
      </c>
      <c r="W14" t="str">
        <f t="shared" si="1"/>
        <v>1111</v>
      </c>
    </row>
    <row r="15" spans="1:25">
      <c r="A15" s="74">
        <v>16.12</v>
      </c>
      <c r="B15" s="356"/>
      <c r="C15" s="358"/>
      <c r="D15" s="257"/>
      <c r="E15" s="266" t="s">
        <v>646</v>
      </c>
      <c r="F15" s="55" t="s">
        <v>89</v>
      </c>
      <c r="G15" s="263" t="s">
        <v>118</v>
      </c>
      <c r="H15" s="263" t="s">
        <v>100</v>
      </c>
      <c r="I15" s="263" t="s">
        <v>120</v>
      </c>
      <c r="J15" s="87" t="s">
        <v>129</v>
      </c>
      <c r="K15" s="271">
        <f t="shared" si="0"/>
        <v>3</v>
      </c>
      <c r="L15" s="271">
        <f>IF(AND(D15="K",K15=1),'Maturity Rating'!$E$8,IF(K15="NA",K15,IF(D15="K",K15*'Maturity Rating'!$E$7,K15)))</f>
        <v>3</v>
      </c>
      <c r="M15" s="339"/>
      <c r="N15" s="339"/>
      <c r="O15" s="342"/>
      <c r="P15" s="27"/>
      <c r="Q15" s="27"/>
      <c r="S15" s="114">
        <f>VLOOKUP(G15,'Maturity Rating'!A$2:B$5,2,FALSE)</f>
        <v>3</v>
      </c>
      <c r="T15" s="114">
        <f>VLOOKUP(H15,'Maturity Rating'!A$8:B$11,2,FALSE)</f>
        <v>3</v>
      </c>
      <c r="U15" s="114">
        <f>VLOOKUP(I15,'Maturity Rating'!A$14:B$17,2,FALSE)</f>
        <v>3</v>
      </c>
      <c r="V15" s="114">
        <f>VLOOKUP(J15,'Maturity Rating'!A$20:B$23,2,FALSE)</f>
        <v>3</v>
      </c>
      <c r="W15" t="str">
        <f t="shared" si="1"/>
        <v>3333</v>
      </c>
    </row>
    <row r="16" spans="1:25" ht="37.5" customHeight="1">
      <c r="A16" s="74">
        <v>16.13</v>
      </c>
      <c r="B16" s="356"/>
      <c r="C16" s="358"/>
      <c r="D16" s="257"/>
      <c r="E16" s="266" t="s">
        <v>210</v>
      </c>
      <c r="F16" s="55" t="s">
        <v>89</v>
      </c>
      <c r="G16" s="263" t="s">
        <v>127</v>
      </c>
      <c r="H16" s="263" t="s">
        <v>95</v>
      </c>
      <c r="I16" s="263" t="s">
        <v>206</v>
      </c>
      <c r="J16" s="87" t="s">
        <v>102</v>
      </c>
      <c r="K16" s="271">
        <f t="shared" si="0"/>
        <v>1</v>
      </c>
      <c r="L16" s="271">
        <f>IF(AND(D16="K",K16=1),'Maturity Rating'!$E$8,IF(K16="NA",K16,IF(D16="K",K16*'Maturity Rating'!$E$7,K16)))</f>
        <v>1</v>
      </c>
      <c r="M16" s="339"/>
      <c r="N16" s="339"/>
      <c r="O16" s="342"/>
      <c r="P16" s="27"/>
      <c r="Q16" s="27"/>
      <c r="S16" s="114">
        <f>VLOOKUP(G16,'Maturity Rating'!A$2:B$5,2,FALSE)</f>
        <v>1</v>
      </c>
      <c r="T16" s="114">
        <f>VLOOKUP(H16,'Maturity Rating'!A$8:B$11,2,FALSE)</f>
        <v>1</v>
      </c>
      <c r="U16" s="114">
        <f>VLOOKUP(I16,'Maturity Rating'!A$14:B$17,2,FALSE)</f>
        <v>1</v>
      </c>
      <c r="V16" s="114">
        <f>VLOOKUP(J16,'Maturity Rating'!A$20:B$23,2,FALSE)</f>
        <v>1</v>
      </c>
      <c r="W16" t="str">
        <f t="shared" si="1"/>
        <v>1111</v>
      </c>
    </row>
    <row r="17" spans="1:24" ht="29.25" customHeight="1">
      <c r="A17" s="74">
        <v>16.14</v>
      </c>
      <c r="B17" s="356"/>
      <c r="C17" s="358"/>
      <c r="D17" s="257" t="s">
        <v>87</v>
      </c>
      <c r="E17" s="52" t="s">
        <v>647</v>
      </c>
      <c r="F17" s="55" t="s">
        <v>89</v>
      </c>
      <c r="G17" s="263" t="s">
        <v>118</v>
      </c>
      <c r="H17" s="263" t="s">
        <v>100</v>
      </c>
      <c r="I17" s="263" t="s">
        <v>120</v>
      </c>
      <c r="J17" s="87" t="s">
        <v>129</v>
      </c>
      <c r="K17" s="271">
        <f t="shared" si="0"/>
        <v>3</v>
      </c>
      <c r="L17" s="271">
        <f>IF(AND(D17="K",K17=1),'Maturity Rating'!$E$8,IF(K17="NA",K17,IF(D17="K",K17*'Maturity Rating'!$E$7,K17)))</f>
        <v>3.5999999999999996</v>
      </c>
      <c r="M17" s="339"/>
      <c r="N17" s="339"/>
      <c r="O17" s="342"/>
      <c r="P17" s="27"/>
      <c r="Q17" s="27"/>
      <c r="S17" s="114">
        <f>VLOOKUP(G17,'Maturity Rating'!A$2:B$5,2,FALSE)</f>
        <v>3</v>
      </c>
      <c r="T17" s="114">
        <f>VLOOKUP(H17,'Maturity Rating'!A$8:B$11,2,FALSE)</f>
        <v>3</v>
      </c>
      <c r="U17" s="114">
        <f>VLOOKUP(I17,'Maturity Rating'!A$14:B$17,2,FALSE)</f>
        <v>3</v>
      </c>
      <c r="V17" s="114">
        <f>VLOOKUP(J17,'Maturity Rating'!A$20:B$23,2,FALSE)</f>
        <v>3</v>
      </c>
      <c r="W17" t="str">
        <f t="shared" si="1"/>
        <v>3333</v>
      </c>
    </row>
    <row r="18" spans="1:24" ht="54" customHeight="1">
      <c r="A18" s="74">
        <v>16.149999999999999</v>
      </c>
      <c r="B18" s="356"/>
      <c r="C18" s="358"/>
      <c r="D18" s="257"/>
      <c r="E18" s="266" t="s">
        <v>648</v>
      </c>
      <c r="F18" s="55" t="s">
        <v>89</v>
      </c>
      <c r="G18" s="263" t="s">
        <v>127</v>
      </c>
      <c r="H18" s="263" t="s">
        <v>95</v>
      </c>
      <c r="I18" s="263" t="s">
        <v>206</v>
      </c>
      <c r="J18" s="87" t="s">
        <v>102</v>
      </c>
      <c r="K18" s="271">
        <f t="shared" si="0"/>
        <v>1</v>
      </c>
      <c r="L18" s="271">
        <f>IF(AND(D18="K",K18=1),'Maturity Rating'!$E$8,IF(K18="NA",K18,IF(D18="K",K18*'Maturity Rating'!$E$7,K18)))</f>
        <v>1</v>
      </c>
      <c r="M18" s="339"/>
      <c r="N18" s="339"/>
      <c r="O18" s="342"/>
      <c r="P18" s="27"/>
      <c r="Q18" s="27"/>
      <c r="S18" s="114">
        <f>VLOOKUP(G18,'Maturity Rating'!A$2:B$5,2,FALSE)</f>
        <v>1</v>
      </c>
      <c r="T18" s="114">
        <f>VLOOKUP(H18,'Maturity Rating'!A$8:B$11,2,FALSE)</f>
        <v>1</v>
      </c>
      <c r="U18" s="114">
        <f>VLOOKUP(I18,'Maturity Rating'!A$14:B$17,2,FALSE)</f>
        <v>1</v>
      </c>
      <c r="V18" s="114">
        <f>VLOOKUP(J18,'Maturity Rating'!A$20:B$23,2,FALSE)</f>
        <v>1</v>
      </c>
      <c r="W18" t="str">
        <f t="shared" si="1"/>
        <v>1111</v>
      </c>
    </row>
    <row r="19" spans="1:24" ht="27" customHeight="1">
      <c r="A19" s="150">
        <v>16.16</v>
      </c>
      <c r="B19" s="356"/>
      <c r="C19" s="358"/>
      <c r="D19" s="257"/>
      <c r="E19" s="286" t="s">
        <v>649</v>
      </c>
      <c r="F19" s="78" t="s">
        <v>89</v>
      </c>
      <c r="G19" s="263" t="s">
        <v>127</v>
      </c>
      <c r="H19" s="263" t="s">
        <v>95</v>
      </c>
      <c r="I19" s="263" t="s">
        <v>206</v>
      </c>
      <c r="J19" s="87" t="s">
        <v>102</v>
      </c>
      <c r="K19" s="271">
        <f t="shared" si="0"/>
        <v>1</v>
      </c>
      <c r="L19" s="271">
        <f>IF(AND(D19="K",K19=1),'Maturity Rating'!$E$8,IF(K19="NA",K19,IF(D19="K",K19*'Maturity Rating'!$E$7,K19)))</f>
        <v>1</v>
      </c>
      <c r="M19" s="339"/>
      <c r="N19" s="339"/>
      <c r="O19" s="342"/>
      <c r="P19" s="27"/>
      <c r="Q19" s="27"/>
      <c r="S19" s="114">
        <f>VLOOKUP(G19,'Maturity Rating'!A$2:B$5,2,FALSE)</f>
        <v>1</v>
      </c>
      <c r="T19" s="114">
        <f>VLOOKUP(H19,'Maturity Rating'!A$8:B$11,2,FALSE)</f>
        <v>1</v>
      </c>
      <c r="U19" s="114">
        <f>VLOOKUP(I19,'Maturity Rating'!A$14:B$17,2,FALSE)</f>
        <v>1</v>
      </c>
      <c r="V19" s="114">
        <f>VLOOKUP(J19,'Maturity Rating'!A$20:B$23,2,FALSE)</f>
        <v>1</v>
      </c>
      <c r="W19" t="str">
        <f t="shared" si="1"/>
        <v>1111</v>
      </c>
    </row>
    <row r="20" spans="1:24" ht="31.5" customHeight="1" thickBot="1">
      <c r="A20" s="75">
        <v>16.170000000000002</v>
      </c>
      <c r="B20" s="376"/>
      <c r="C20" s="360"/>
      <c r="D20" s="259"/>
      <c r="E20" s="268" t="s">
        <v>650</v>
      </c>
      <c r="F20" s="59" t="s">
        <v>89</v>
      </c>
      <c r="G20" s="263" t="s">
        <v>127</v>
      </c>
      <c r="H20" s="259" t="s">
        <v>95</v>
      </c>
      <c r="I20" s="259" t="s">
        <v>206</v>
      </c>
      <c r="J20" s="80" t="s">
        <v>102</v>
      </c>
      <c r="K20" s="272">
        <f t="shared" si="0"/>
        <v>1</v>
      </c>
      <c r="L20" s="272">
        <f>IF(AND(D20="K",K20=1),'Maturity Rating'!$E$8,IF(K20="NA",K20,IF(D20="K",K20*'Maturity Rating'!$E$7,K20)))</f>
        <v>1</v>
      </c>
      <c r="M20" s="340"/>
      <c r="N20" s="340"/>
      <c r="O20" s="343"/>
      <c r="P20" s="27"/>
      <c r="Q20" s="27"/>
      <c r="S20" s="114">
        <f>VLOOKUP(G20,'Maturity Rating'!A$2:B$5,2,FALSE)</f>
        <v>1</v>
      </c>
      <c r="T20" s="114">
        <f>VLOOKUP(H20,'Maturity Rating'!A$8:B$11,2,FALSE)</f>
        <v>1</v>
      </c>
      <c r="U20" s="114">
        <f>VLOOKUP(I20,'Maturity Rating'!A$14:B$17,2,FALSE)</f>
        <v>1</v>
      </c>
      <c r="V20" s="114">
        <f>VLOOKUP(J20,'Maturity Rating'!A$20:B$23,2,FALSE)</f>
        <v>1</v>
      </c>
      <c r="W20" t="str">
        <f t="shared" si="1"/>
        <v>1111</v>
      </c>
    </row>
    <row r="21" spans="1:24" ht="30" customHeight="1">
      <c r="A21" s="36">
        <v>16.18</v>
      </c>
      <c r="B21" s="359" t="s">
        <v>651</v>
      </c>
      <c r="C21" s="357" t="s">
        <v>652</v>
      </c>
      <c r="D21" s="256" t="s">
        <v>87</v>
      </c>
      <c r="E21" s="51" t="s">
        <v>653</v>
      </c>
      <c r="F21" s="56" t="s">
        <v>89</v>
      </c>
      <c r="G21" s="256" t="s">
        <v>118</v>
      </c>
      <c r="H21" s="256" t="s">
        <v>100</v>
      </c>
      <c r="I21" s="256" t="s">
        <v>120</v>
      </c>
      <c r="J21" s="108" t="s">
        <v>129</v>
      </c>
      <c r="K21" s="278">
        <f t="shared" si="0"/>
        <v>3</v>
      </c>
      <c r="L21" s="278">
        <f>IF(AND(D21="K",K21=1),'Maturity Rating'!$E$8,IF(K21="NA",K21,IF(D21="K",K21*'Maturity Rating'!$E$7,K21)))</f>
        <v>3.5999999999999996</v>
      </c>
      <c r="M21" s="338">
        <f>IF(X21="NANANANANANANANANANA",K21,AVERAGE(L21:L25))</f>
        <v>1.92</v>
      </c>
      <c r="N21" s="338">
        <f>IF(M21&lt;1.1,1,IF(M21="NA",M21,(MIN(5,M21/3*5))))</f>
        <v>3.2</v>
      </c>
      <c r="O21" s="341" t="str">
        <f>IF(N21="NA",N21,VLOOKUP(Q21,'Maturity Rating'!G4:H8,2,FALSE))</f>
        <v>Defined</v>
      </c>
      <c r="P21" s="27"/>
      <c r="Q21" s="229">
        <f>IF(N21="NA",N21,ROUND(N21,0))</f>
        <v>3</v>
      </c>
      <c r="S21" s="114">
        <f>VLOOKUP(G21,'Maturity Rating'!A$2:B$5,2,FALSE)</f>
        <v>3</v>
      </c>
      <c r="T21" s="114">
        <f>VLOOKUP(H21,'Maturity Rating'!A$8:B$11,2,FALSE)</f>
        <v>3</v>
      </c>
      <c r="U21" s="114">
        <f>VLOOKUP(I21,'Maturity Rating'!A$14:B$17,2,FALSE)</f>
        <v>3</v>
      </c>
      <c r="V21" s="114">
        <f>VLOOKUP(J21,'Maturity Rating'!A$20:B$23,2,FALSE)</f>
        <v>3</v>
      </c>
      <c r="W21" t="str">
        <f t="shared" si="1"/>
        <v>3333</v>
      </c>
      <c r="X21" t="str">
        <f>CONCATENATE(L21,L22,L23,L24,L25,)</f>
        <v>3.61311</v>
      </c>
    </row>
    <row r="22" spans="1:24" ht="30" customHeight="1">
      <c r="A22" s="74">
        <v>16.190000000000001</v>
      </c>
      <c r="B22" s="344"/>
      <c r="C22" s="358"/>
      <c r="D22" s="263"/>
      <c r="E22" s="279" t="s">
        <v>654</v>
      </c>
      <c r="F22" s="99" t="s">
        <v>89</v>
      </c>
      <c r="G22" s="263" t="s">
        <v>127</v>
      </c>
      <c r="H22" s="263" t="s">
        <v>95</v>
      </c>
      <c r="I22" s="263" t="s">
        <v>206</v>
      </c>
      <c r="J22" s="87" t="s">
        <v>102</v>
      </c>
      <c r="K22" s="271">
        <f t="shared" ref="K22" si="2">IF(W22="NANANANA",S22,IF(AND(OR(G22="Formally Documented",G22="Informally Documented"),H22="Not Implemented"),0.5*AVERAGE(S22:V22),AVERAGE(S22:V22)))</f>
        <v>1</v>
      </c>
      <c r="L22" s="271">
        <f>IF(AND(D22="K",K22=1),'Maturity Rating'!$E$8,IF(K22="NA",K22,IF(D22="K",K22*'Maturity Rating'!$E$7,K22)))</f>
        <v>1</v>
      </c>
      <c r="M22" s="339"/>
      <c r="N22" s="339"/>
      <c r="O22" s="351"/>
      <c r="P22" s="27"/>
      <c r="Q22" s="229"/>
      <c r="S22" s="114">
        <f>VLOOKUP(G22,'Maturity Rating'!A$2:B$5,2,FALSE)</f>
        <v>1</v>
      </c>
      <c r="T22" s="114">
        <f>VLOOKUP(H22,'Maturity Rating'!A$8:B$11,2,FALSE)</f>
        <v>1</v>
      </c>
      <c r="U22" s="114">
        <f>VLOOKUP(I22,'Maturity Rating'!A$14:B$17,2,FALSE)</f>
        <v>1</v>
      </c>
      <c r="V22" s="114">
        <f>VLOOKUP(J22,'Maturity Rating'!A$20:B$23,2,FALSE)</f>
        <v>1</v>
      </c>
      <c r="W22" t="str">
        <f t="shared" ref="W22" si="3">CONCATENATE(S22,T22,U22,V22)</f>
        <v>1111</v>
      </c>
    </row>
    <row r="23" spans="1:24" ht="30" customHeight="1">
      <c r="A23" s="74" t="s">
        <v>655</v>
      </c>
      <c r="B23" s="344"/>
      <c r="C23" s="358"/>
      <c r="D23" s="263"/>
      <c r="E23" s="279" t="s">
        <v>656</v>
      </c>
      <c r="F23" s="99" t="s">
        <v>89</v>
      </c>
      <c r="G23" s="263" t="s">
        <v>118</v>
      </c>
      <c r="H23" s="263" t="s">
        <v>100</v>
      </c>
      <c r="I23" s="263" t="s">
        <v>120</v>
      </c>
      <c r="J23" s="87" t="s">
        <v>129</v>
      </c>
      <c r="K23" s="271">
        <f t="shared" ref="K23" si="4">IF(W23="NANANANA",S23,IF(AND(OR(G23="Formally Documented",G23="Informally Documented"),H23="Not Implemented"),0.5*AVERAGE(S23:V23),AVERAGE(S23:V23)))</f>
        <v>3</v>
      </c>
      <c r="L23" s="271">
        <f>IF(AND(D23="K",K23=1),'Maturity Rating'!$E$8,IF(K23="NA",K23,IF(D23="K",K23*'Maturity Rating'!$E$7,K23)))</f>
        <v>3</v>
      </c>
      <c r="M23" s="339"/>
      <c r="N23" s="339"/>
      <c r="O23" s="351"/>
      <c r="P23" s="27"/>
      <c r="Q23" s="229"/>
      <c r="S23" s="114">
        <f>VLOOKUP(G23,'Maturity Rating'!A$2:B$5,2,FALSE)</f>
        <v>3</v>
      </c>
      <c r="T23" s="114">
        <f>VLOOKUP(H23,'Maturity Rating'!A$8:B$11,2,FALSE)</f>
        <v>3</v>
      </c>
      <c r="U23" s="114">
        <f>VLOOKUP(I23,'Maturity Rating'!A$14:B$17,2,FALSE)</f>
        <v>3</v>
      </c>
      <c r="V23" s="114">
        <f>VLOOKUP(J23,'Maturity Rating'!A$20:B$23,2,FALSE)</f>
        <v>3</v>
      </c>
      <c r="W23" t="str">
        <f t="shared" ref="W23" si="5">CONCATENATE(S23,T23,U23,V23)</f>
        <v>3333</v>
      </c>
    </row>
    <row r="24" spans="1:24" ht="30" customHeight="1">
      <c r="A24" s="74">
        <v>16.21</v>
      </c>
      <c r="B24" s="345"/>
      <c r="C24" s="358"/>
      <c r="D24" s="257"/>
      <c r="E24" s="266" t="s">
        <v>657</v>
      </c>
      <c r="F24" s="55" t="s">
        <v>215</v>
      </c>
      <c r="G24" s="263" t="s">
        <v>127</v>
      </c>
      <c r="H24" s="263" t="s">
        <v>95</v>
      </c>
      <c r="I24" s="263" t="s">
        <v>206</v>
      </c>
      <c r="J24" s="87" t="s">
        <v>102</v>
      </c>
      <c r="K24" s="271">
        <f t="shared" si="0"/>
        <v>1</v>
      </c>
      <c r="L24" s="271">
        <f>IF(AND(D24="K",K24=1),'Maturity Rating'!$E$8,IF(K24="NA",K24,IF(D24="K",K24*'Maturity Rating'!$E$7,K24)))</f>
        <v>1</v>
      </c>
      <c r="M24" s="339"/>
      <c r="N24" s="339"/>
      <c r="O24" s="342"/>
      <c r="P24" s="27"/>
      <c r="Q24" s="27"/>
      <c r="S24" s="114">
        <f>VLOOKUP(G24,'Maturity Rating'!A$2:B$5,2,FALSE)</f>
        <v>1</v>
      </c>
      <c r="T24" s="114">
        <f>VLOOKUP(H24,'Maturity Rating'!A$8:B$11,2,FALSE)</f>
        <v>1</v>
      </c>
      <c r="U24" s="114">
        <f>VLOOKUP(I24,'Maturity Rating'!A$14:B$17,2,FALSE)</f>
        <v>1</v>
      </c>
      <c r="V24" s="114">
        <f>VLOOKUP(J24,'Maturity Rating'!A$20:B$23,2,FALSE)</f>
        <v>1</v>
      </c>
      <c r="W24" t="str">
        <f t="shared" si="1"/>
        <v>1111</v>
      </c>
    </row>
    <row r="25" spans="1:24" ht="29.5" thickBot="1">
      <c r="A25" s="120">
        <v>16.22</v>
      </c>
      <c r="B25" s="347"/>
      <c r="C25" s="360"/>
      <c r="D25" s="259"/>
      <c r="E25" s="268" t="s">
        <v>658</v>
      </c>
      <c r="F25" s="59" t="s">
        <v>215</v>
      </c>
      <c r="G25" s="259" t="s">
        <v>127</v>
      </c>
      <c r="H25" s="259" t="s">
        <v>95</v>
      </c>
      <c r="I25" s="259" t="s">
        <v>206</v>
      </c>
      <c r="J25" s="80" t="s">
        <v>102</v>
      </c>
      <c r="K25" s="272">
        <f t="shared" si="0"/>
        <v>1</v>
      </c>
      <c r="L25" s="272">
        <f>IF(AND(D25="K",K25=1),'Maturity Rating'!$E$8,IF(K25="NA",K25,IF(D25="K",K25*'Maturity Rating'!$E$7,K25)))</f>
        <v>1</v>
      </c>
      <c r="M25" s="340"/>
      <c r="N25" s="340"/>
      <c r="O25" s="343"/>
      <c r="P25" s="27"/>
      <c r="Q25" s="27"/>
      <c r="S25" s="114">
        <f>VLOOKUP(G25,'Maturity Rating'!A$2:B$5,2,FALSE)</f>
        <v>1</v>
      </c>
      <c r="T25" s="114">
        <f>VLOOKUP(H25,'Maturity Rating'!A$8:B$11,2,FALSE)</f>
        <v>1</v>
      </c>
      <c r="U25" s="114">
        <f>VLOOKUP(I25,'Maturity Rating'!A$14:B$17,2,FALSE)</f>
        <v>1</v>
      </c>
      <c r="V25" s="114">
        <f>VLOOKUP(J25,'Maturity Rating'!A$20:B$23,2,FALSE)</f>
        <v>1</v>
      </c>
      <c r="W25" t="str">
        <f t="shared" si="1"/>
        <v>1111</v>
      </c>
    </row>
    <row r="26" spans="1:24">
      <c r="C26" s="23"/>
      <c r="D26" s="23"/>
    </row>
  </sheetData>
  <mergeCells count="16">
    <mergeCell ref="C1:D1"/>
    <mergeCell ref="N21:N25"/>
    <mergeCell ref="O21:O25"/>
    <mergeCell ref="B4:B7"/>
    <mergeCell ref="C4:C7"/>
    <mergeCell ref="M4:M7"/>
    <mergeCell ref="N4:N7"/>
    <mergeCell ref="O4:O7"/>
    <mergeCell ref="M8:M20"/>
    <mergeCell ref="N8:N20"/>
    <mergeCell ref="O8:O20"/>
    <mergeCell ref="B8:B20"/>
    <mergeCell ref="C8:C20"/>
    <mergeCell ref="B21:B25"/>
    <mergeCell ref="C21:C25"/>
    <mergeCell ref="M21:M25"/>
  </mergeCells>
  <pageMargins left="0.7" right="0.7" top="0.75" bottom="0.75" header="0.3" footer="0.3"/>
  <pageSetup paperSize="9" orientation="portrait" r:id="rId1"/>
  <ignoredErrors>
    <ignoredError sqref="E1:F1 K5:O25 K4:L4 N4:O4" evalError="1"/>
  </ignoredErrors>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1300-000000000000}">
          <x14:formula1>
            <xm:f>'Maturity Rating'!$A$8:$A$11</xm:f>
          </x14:formula1>
          <xm:sqref>H4:H25</xm:sqref>
        </x14:dataValidation>
        <x14:dataValidation type="list" allowBlank="1" showInputMessage="1" showErrorMessage="1" xr:uid="{00000000-0002-0000-1300-000001000000}">
          <x14:formula1>
            <xm:f>'Maturity Rating'!$A$20:$A$23</xm:f>
          </x14:formula1>
          <xm:sqref>J4:J25</xm:sqref>
        </x14:dataValidation>
        <x14:dataValidation type="list" allowBlank="1" showInputMessage="1" showErrorMessage="1" xr:uid="{00000000-0002-0000-1300-000002000000}">
          <x14:formula1>
            <xm:f>'Maturity Rating'!$A$14:$A$17</xm:f>
          </x14:formula1>
          <xm:sqref>I4:I25</xm:sqref>
        </x14:dataValidation>
        <x14:dataValidation type="list" allowBlank="1" showInputMessage="1" showErrorMessage="1" xr:uid="{00000000-0002-0000-1300-000003000000}">
          <x14:formula1>
            <xm:f>'Maturity Rating'!$A$2:$A$5</xm:f>
          </x14:formula1>
          <xm:sqref>G4:G25</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2"/>
  </sheetPr>
  <dimension ref="A1:Y34"/>
  <sheetViews>
    <sheetView showGridLines="0" topLeftCell="D24" zoomScale="57" zoomScaleNormal="80" workbookViewId="0">
      <selection activeCell="H29" sqref="H29"/>
    </sheetView>
  </sheetViews>
  <sheetFormatPr defaultColWidth="9.08984375" defaultRowHeight="14.5"/>
  <cols>
    <col min="1" max="1" width="8.36328125" style="22" customWidth="1"/>
    <col min="2" max="2" width="23.08984375" style="24" customWidth="1"/>
    <col min="3" max="3" width="34.90625" style="25" customWidth="1"/>
    <col min="4" max="4" width="25" style="25" customWidth="1"/>
    <col min="5" max="5" width="79.1796875" style="24" customWidth="1"/>
    <col min="6" max="6" width="31.36328125" style="62" customWidth="1"/>
    <col min="7" max="8" width="20.6328125" style="62" customWidth="1"/>
    <col min="9" max="9" width="20.90625" style="62" bestFit="1" customWidth="1"/>
    <col min="10" max="10" width="20.6328125" style="62" customWidth="1"/>
    <col min="11" max="11" width="13.6328125" style="24" bestFit="1" customWidth="1"/>
    <col min="12" max="12" width="26.36328125" style="24" customWidth="1"/>
    <col min="13" max="13" width="18.81640625" style="24" customWidth="1"/>
    <col min="14" max="14" width="20.90625" style="24" customWidth="1"/>
    <col min="15" max="15" width="13.6328125" style="24" customWidth="1"/>
    <col min="16" max="16" width="3.36328125" customWidth="1"/>
    <col min="17" max="17" width="4" hidden="1" customWidth="1"/>
    <col min="18" max="18" width="4.36328125" hidden="1" customWidth="1"/>
    <col min="19" max="19" width="6.90625" style="189" hidden="1" customWidth="1"/>
    <col min="20" max="20" width="6" style="189" hidden="1" customWidth="1"/>
    <col min="21" max="21" width="6.90625" style="189" hidden="1" customWidth="1"/>
    <col min="22" max="22" width="8.90625" style="189" hidden="1" customWidth="1"/>
    <col min="23" max="23" width="8.1796875" hidden="1" customWidth="1"/>
    <col min="24" max="24" width="14.54296875" hidden="1" customWidth="1"/>
    <col min="25" max="25" width="16.08984375" customWidth="1"/>
    <col min="26" max="16384" width="9.08984375" style="24"/>
  </cols>
  <sheetData>
    <row r="1" spans="1:25" ht="22.5" customHeight="1" thickBot="1">
      <c r="C1" s="353" t="s">
        <v>66</v>
      </c>
      <c r="D1" s="354"/>
      <c r="E1" s="45" t="str">
        <f>IF(F1="NANANANA","Not Applicable",VLOOKUP(T1,'Maturity Rating'!G4:H8,2,FALSE))</f>
        <v>Defined</v>
      </c>
      <c r="F1" s="46">
        <f>IF(U1="NANANANA","NA",AVERAGE(N4:N34))</f>
        <v>3.9193121693121689</v>
      </c>
      <c r="G1" s="22"/>
      <c r="I1" s="86"/>
      <c r="K1" s="84"/>
      <c r="Q1" s="224"/>
      <c r="S1"/>
      <c r="T1" s="252">
        <f>ROUNDDOWN(F1,0)</f>
        <v>3</v>
      </c>
      <c r="U1" s="235" t="str">
        <f>CONCATENATE(N4,N7,N21,N30)</f>
        <v>4.222222222222224.630952380952383.407407407407413.41666666666667</v>
      </c>
      <c r="V1"/>
    </row>
    <row r="2" spans="1:25" ht="15" thickBot="1">
      <c r="H2" s="131"/>
      <c r="K2" s="128"/>
    </row>
    <row r="3" spans="1:25" s="22" customFormat="1" ht="30.75" customHeight="1" thickBot="1">
      <c r="A3" s="106" t="s">
        <v>2</v>
      </c>
      <c r="B3" s="48" t="s">
        <v>67</v>
      </c>
      <c r="C3" s="48" t="s">
        <v>68</v>
      </c>
      <c r="D3" s="48" t="s">
        <v>69</v>
      </c>
      <c r="E3" s="48" t="s">
        <v>70</v>
      </c>
      <c r="F3" s="48" t="s">
        <v>71</v>
      </c>
      <c r="G3" s="48" t="s">
        <v>72</v>
      </c>
      <c r="H3" s="81" t="s">
        <v>73</v>
      </c>
      <c r="I3" s="48" t="s">
        <v>74</v>
      </c>
      <c r="J3" s="48" t="s">
        <v>75</v>
      </c>
      <c r="K3" s="126" t="s">
        <v>76</v>
      </c>
      <c r="L3" s="81" t="s">
        <v>77</v>
      </c>
      <c r="M3" s="48" t="s">
        <v>78</v>
      </c>
      <c r="N3" s="81" t="s">
        <v>79</v>
      </c>
      <c r="O3" s="101" t="s">
        <v>80</v>
      </c>
      <c r="P3"/>
      <c r="Q3"/>
      <c r="R3"/>
      <c r="S3" s="227" t="s">
        <v>81</v>
      </c>
      <c r="T3" s="227" t="s">
        <v>82</v>
      </c>
      <c r="U3" s="227" t="s">
        <v>83</v>
      </c>
      <c r="V3" s="227" t="s">
        <v>84</v>
      </c>
      <c r="W3" s="228"/>
      <c r="X3" s="228"/>
      <c r="Y3" s="228"/>
    </row>
    <row r="4" spans="1:25" ht="45.75" customHeight="1">
      <c r="A4" s="4">
        <v>17.100000000000001</v>
      </c>
      <c r="B4" s="359" t="s">
        <v>85</v>
      </c>
      <c r="C4" s="368" t="s">
        <v>659</v>
      </c>
      <c r="D4" s="256" t="s">
        <v>87</v>
      </c>
      <c r="E4" s="51" t="s">
        <v>660</v>
      </c>
      <c r="F4" s="256" t="s">
        <v>89</v>
      </c>
      <c r="G4" s="256" t="s">
        <v>118</v>
      </c>
      <c r="H4" s="263" t="s">
        <v>100</v>
      </c>
      <c r="I4" s="256" t="s">
        <v>120</v>
      </c>
      <c r="J4" s="256" t="s">
        <v>129</v>
      </c>
      <c r="K4" s="271">
        <f>IF(W4="NANANANA",S4,IF(AND(OR(G4="Formally Documented",G4="Informally Documented"),H4="Not Implemented"),0.5*AVERAGE(S4:V4),AVERAGE(S4:V4)))</f>
        <v>3</v>
      </c>
      <c r="L4" s="271">
        <f>IF(AND(D4="K",K4=1),'Maturity Rating'!$E$8,IF(K4="NA",K4,IF(D4="K",K4*'Maturity Rating'!$E$7,K4)))</f>
        <v>3.5999999999999996</v>
      </c>
      <c r="M4" s="381">
        <f>IF(X4="NANANA",K4,AVERAGE(L4:L6))</f>
        <v>2.5333333333333332</v>
      </c>
      <c r="N4" s="381">
        <f>IF(M4&lt;1.1,1,IF(M4="NA",M4,(MIN(5,M4/3*5))))</f>
        <v>4.2222222222222223</v>
      </c>
      <c r="O4" s="341" t="str">
        <f>IF(N4="NA",N4,VLOOKUP(Q4,'Maturity Rating'!G4:H8,2,FALSE))</f>
        <v>Repeatable</v>
      </c>
      <c r="P4" s="27"/>
      <c r="Q4" s="229">
        <f>IF(N4="NA",N4,ROUNDDOWN(N4,0))</f>
        <v>4</v>
      </c>
      <c r="S4" s="114">
        <f>VLOOKUP(G4,'Maturity Rating'!A$2:B$5,2,FALSE)</f>
        <v>3</v>
      </c>
      <c r="T4" s="114">
        <f>VLOOKUP(H4,'Maturity Rating'!A$8:B$11,2,FALSE)</f>
        <v>3</v>
      </c>
      <c r="U4" s="114">
        <f>VLOOKUP(I4,'Maturity Rating'!A$14:B$17,2,FALSE)</f>
        <v>3</v>
      </c>
      <c r="V4" s="114">
        <f>VLOOKUP(J4,'Maturity Rating'!A$20:B$23,2,FALSE)</f>
        <v>3</v>
      </c>
      <c r="W4" t="str">
        <f>CONCATENATE(S4,T4,U4,V4)</f>
        <v>3333</v>
      </c>
      <c r="X4" t="str">
        <f>CONCATENATE(L4,L5,L6)</f>
        <v>3.631</v>
      </c>
    </row>
    <row r="5" spans="1:25" ht="49.5" customHeight="1">
      <c r="A5" s="3">
        <v>17.2</v>
      </c>
      <c r="B5" s="345"/>
      <c r="C5" s="365"/>
      <c r="D5" s="257"/>
      <c r="E5" s="266" t="s">
        <v>524</v>
      </c>
      <c r="F5" s="257" t="s">
        <v>89</v>
      </c>
      <c r="G5" s="257" t="s">
        <v>118</v>
      </c>
      <c r="H5" s="257" t="s">
        <v>100</v>
      </c>
      <c r="I5" s="257" t="s">
        <v>120</v>
      </c>
      <c r="J5" s="257" t="s">
        <v>129</v>
      </c>
      <c r="K5" s="271">
        <f t="shared" ref="K5:K34" si="0">IF(W5="NANANANA",S5,IF(AND(OR(G5="Formally Documented",G5="Informally Documented"),H5="Not Implemented"),0.5*AVERAGE(S5:V5),AVERAGE(S5:V5)))</f>
        <v>3</v>
      </c>
      <c r="L5" s="273">
        <f>IF(AND(D5="K",K5=1),'Maturity Rating'!$E$8,IF(K5="NA",K5,IF(D5="K",K5*'Maturity Rating'!$E$7,K5)))</f>
        <v>3</v>
      </c>
      <c r="M5" s="374"/>
      <c r="N5" s="374"/>
      <c r="O5" s="342"/>
      <c r="P5" s="27"/>
      <c r="Q5" s="229"/>
      <c r="S5" s="114">
        <f>VLOOKUP(G5,'Maturity Rating'!A$2:B$5,2,FALSE)</f>
        <v>3</v>
      </c>
      <c r="T5" s="114">
        <f>VLOOKUP(H5,'Maturity Rating'!A$8:B$11,2,FALSE)</f>
        <v>3</v>
      </c>
      <c r="U5" s="114">
        <f>VLOOKUP(I5,'Maturity Rating'!A$14:B$17,2,FALSE)</f>
        <v>3</v>
      </c>
      <c r="V5" s="114">
        <f>VLOOKUP(J5,'Maturity Rating'!A$20:B$23,2,FALSE)</f>
        <v>3</v>
      </c>
      <c r="W5" t="str">
        <f t="shared" ref="W5:W34" si="1">CONCATENATE(S5,T5,U5,V5)</f>
        <v>3333</v>
      </c>
    </row>
    <row r="6" spans="1:25" ht="15" thickBot="1">
      <c r="A6" s="111">
        <v>17.3</v>
      </c>
      <c r="B6" s="346"/>
      <c r="C6" s="366"/>
      <c r="D6" s="258"/>
      <c r="E6" s="267" t="s">
        <v>94</v>
      </c>
      <c r="F6" s="258" t="s">
        <v>89</v>
      </c>
      <c r="G6" s="259" t="s">
        <v>127</v>
      </c>
      <c r="H6" s="257" t="s">
        <v>95</v>
      </c>
      <c r="I6" s="258" t="s">
        <v>91</v>
      </c>
      <c r="J6" s="258" t="s">
        <v>91</v>
      </c>
      <c r="K6" s="272">
        <f t="shared" si="0"/>
        <v>1</v>
      </c>
      <c r="L6" s="272">
        <f>IF(AND(D6="K",K6=1),'Maturity Rating'!$E$8,IF(K6="NA",K6,IF(D6="K",K6*'Maturity Rating'!$E$7,K6)))</f>
        <v>1</v>
      </c>
      <c r="M6" s="375"/>
      <c r="N6" s="375"/>
      <c r="O6" s="352"/>
      <c r="P6" s="27"/>
      <c r="Q6" s="229"/>
      <c r="S6" s="114">
        <f>VLOOKUP(G6,'Maturity Rating'!A$2:B$5,2,FALSE)</f>
        <v>1</v>
      </c>
      <c r="T6" s="114">
        <f>VLOOKUP(H6,'Maturity Rating'!A$8:B$11,2,FALSE)</f>
        <v>1</v>
      </c>
      <c r="U6" s="114" t="str">
        <f>VLOOKUP(I6,'Maturity Rating'!A$14:B$17,2,FALSE)</f>
        <v>NA</v>
      </c>
      <c r="V6" s="114" t="str">
        <f>VLOOKUP(J6,'Maturity Rating'!A$20:B$23,2,FALSE)</f>
        <v>NA</v>
      </c>
      <c r="W6" t="str">
        <f t="shared" si="1"/>
        <v>11NANA</v>
      </c>
    </row>
    <row r="7" spans="1:25" ht="44.25" customHeight="1">
      <c r="A7" s="4">
        <v>17.399999999999999</v>
      </c>
      <c r="B7" s="359" t="s">
        <v>661</v>
      </c>
      <c r="C7" s="368" t="s">
        <v>662</v>
      </c>
      <c r="D7" s="256"/>
      <c r="E7" s="277" t="s">
        <v>663</v>
      </c>
      <c r="F7" s="256" t="s">
        <v>89</v>
      </c>
      <c r="G7" s="257" t="s">
        <v>118</v>
      </c>
      <c r="H7" s="56" t="s">
        <v>100</v>
      </c>
      <c r="I7" s="256" t="s">
        <v>120</v>
      </c>
      <c r="J7" s="256" t="s">
        <v>129</v>
      </c>
      <c r="K7" s="271">
        <f t="shared" si="0"/>
        <v>3</v>
      </c>
      <c r="L7" s="271">
        <f>IF(AND(D7="K",K7=1),'Maturity Rating'!$E$8,IF(K7="NA",K7,IF(D7="K",K7*'Maturity Rating'!$E$7,K7)))</f>
        <v>3</v>
      </c>
      <c r="M7" s="338">
        <f>IF(X7="NANANANANANANANANANANANANANANA",K7,AVERAGE(L7:L20))</f>
        <v>2.7785714285714285</v>
      </c>
      <c r="N7" s="338">
        <f>IF(M7&lt;1.1,1,IF(M7="NA",M7,(MIN(5,M7/3*5))))</f>
        <v>4.6309523809523805</v>
      </c>
      <c r="O7" s="363" t="str">
        <f>IF(N7="NA",N7,VLOOKUP(Q7,'Maturity Rating'!G4:H8,2,FALSE))</f>
        <v>Repeatable</v>
      </c>
      <c r="P7" s="27"/>
      <c r="Q7" s="229">
        <f>IF(N7="NA",N7,ROUNDDOWN(N7,0))</f>
        <v>4</v>
      </c>
      <c r="S7" s="114">
        <f>VLOOKUP(G7,'Maturity Rating'!A$2:B$5,2,FALSE)</f>
        <v>3</v>
      </c>
      <c r="T7" s="114">
        <f>VLOOKUP(H7,'Maturity Rating'!A$8:B$11,2,FALSE)</f>
        <v>3</v>
      </c>
      <c r="U7" s="114">
        <f>VLOOKUP(I7,'Maturity Rating'!A$14:B$17,2,FALSE)</f>
        <v>3</v>
      </c>
      <c r="V7" s="114">
        <f>VLOOKUP(J7,'Maturity Rating'!A$20:B$23,2,FALSE)</f>
        <v>3</v>
      </c>
      <c r="W7" t="str">
        <f t="shared" si="1"/>
        <v>3333</v>
      </c>
      <c r="X7" t="str">
        <f>CONCATENATE(L7,L8,L9,L10,L11,L12,L13,L14,L15,L16,L17,L18,L19,L20)</f>
        <v>32.753333313332.753.61.8</v>
      </c>
    </row>
    <row r="8" spans="1:25" ht="29">
      <c r="A8" s="3">
        <v>17.5</v>
      </c>
      <c r="B8" s="345"/>
      <c r="C8" s="365"/>
      <c r="D8" s="257"/>
      <c r="E8" s="266" t="s">
        <v>664</v>
      </c>
      <c r="F8" s="257" t="s">
        <v>89</v>
      </c>
      <c r="G8" s="257" t="s">
        <v>118</v>
      </c>
      <c r="H8" s="257" t="s">
        <v>100</v>
      </c>
      <c r="I8" s="257" t="s">
        <v>101</v>
      </c>
      <c r="J8" s="257" t="s">
        <v>129</v>
      </c>
      <c r="K8" s="271">
        <f t="shared" si="0"/>
        <v>2.75</v>
      </c>
      <c r="L8" s="273">
        <f>IF(AND(D8="K",K8=1),'Maturity Rating'!$E$8,IF(K8="NA",K8,IF(D8="K",K8*'Maturity Rating'!$E$7,K8)))</f>
        <v>2.75</v>
      </c>
      <c r="M8" s="339"/>
      <c r="N8" s="339"/>
      <c r="O8" s="361"/>
      <c r="P8" s="27"/>
      <c r="Q8" s="27"/>
      <c r="S8" s="114">
        <f>VLOOKUP(G8,'Maturity Rating'!A$2:B$5,2,FALSE)</f>
        <v>3</v>
      </c>
      <c r="T8" s="114">
        <f>VLOOKUP(H8,'Maturity Rating'!A$8:B$11,2,FALSE)</f>
        <v>3</v>
      </c>
      <c r="U8" s="114">
        <f>VLOOKUP(I8,'Maturity Rating'!A$14:B$17,2,FALSE)</f>
        <v>2</v>
      </c>
      <c r="V8" s="114">
        <f>VLOOKUP(J8,'Maturity Rating'!A$20:B$23,2,FALSE)</f>
        <v>3</v>
      </c>
      <c r="W8" t="str">
        <f t="shared" si="1"/>
        <v>3323</v>
      </c>
    </row>
    <row r="9" spans="1:25" ht="29">
      <c r="A9" s="3">
        <v>17.600000000000001</v>
      </c>
      <c r="B9" s="345"/>
      <c r="C9" s="365"/>
      <c r="D9" s="257"/>
      <c r="E9" s="266" t="s">
        <v>665</v>
      </c>
      <c r="F9" s="55" t="s">
        <v>89</v>
      </c>
      <c r="G9" s="257" t="s">
        <v>118</v>
      </c>
      <c r="H9" s="257" t="s">
        <v>100</v>
      </c>
      <c r="I9" s="257" t="s">
        <v>120</v>
      </c>
      <c r="J9" s="257" t="s">
        <v>129</v>
      </c>
      <c r="K9" s="271">
        <f t="shared" si="0"/>
        <v>3</v>
      </c>
      <c r="L9" s="273">
        <f>IF(AND(D9="K",K9=1),'Maturity Rating'!$E$8,IF(K9="NA",K9,IF(D9="K",K9*'Maturity Rating'!$E$7,K9)))</f>
        <v>3</v>
      </c>
      <c r="M9" s="339"/>
      <c r="N9" s="339"/>
      <c r="O9" s="361"/>
      <c r="P9" s="27"/>
      <c r="Q9" s="27"/>
      <c r="S9" s="114">
        <f>VLOOKUP(G9,'Maturity Rating'!A$2:B$5,2,FALSE)</f>
        <v>3</v>
      </c>
      <c r="T9" s="114">
        <f>VLOOKUP(H9,'Maturity Rating'!A$8:B$11,2,FALSE)</f>
        <v>3</v>
      </c>
      <c r="U9" s="114">
        <f>VLOOKUP(I9,'Maturity Rating'!A$14:B$17,2,FALSE)</f>
        <v>3</v>
      </c>
      <c r="V9" s="114">
        <f>VLOOKUP(J9,'Maturity Rating'!A$20:B$23,2,FALSE)</f>
        <v>3</v>
      </c>
      <c r="W9" t="str">
        <f t="shared" si="1"/>
        <v>3333</v>
      </c>
    </row>
    <row r="10" spans="1:25" ht="27.75" customHeight="1">
      <c r="A10" s="3">
        <v>17.7</v>
      </c>
      <c r="B10" s="345"/>
      <c r="C10" s="365"/>
      <c r="D10" s="257"/>
      <c r="E10" s="28" t="s">
        <v>666</v>
      </c>
      <c r="F10" s="180" t="s">
        <v>89</v>
      </c>
      <c r="G10" s="257" t="s">
        <v>118</v>
      </c>
      <c r="H10" s="257" t="s">
        <v>100</v>
      </c>
      <c r="I10" s="257" t="s">
        <v>120</v>
      </c>
      <c r="J10" s="257" t="s">
        <v>129</v>
      </c>
      <c r="K10" s="271">
        <f t="shared" si="0"/>
        <v>3</v>
      </c>
      <c r="L10" s="273">
        <f>IF(AND(D10="K",K10=1),'Maturity Rating'!$E$8,IF(K10="NA",K10,IF(D10="K",K10*'Maturity Rating'!$E$7,K10)))</f>
        <v>3</v>
      </c>
      <c r="M10" s="339"/>
      <c r="N10" s="339"/>
      <c r="O10" s="361"/>
      <c r="P10" s="27"/>
      <c r="Q10" s="27"/>
      <c r="S10" s="114">
        <f>VLOOKUP(G10,'Maturity Rating'!A$2:B$5,2,FALSE)</f>
        <v>3</v>
      </c>
      <c r="T10" s="114">
        <f>VLOOKUP(H10,'Maturity Rating'!A$8:B$11,2,FALSE)</f>
        <v>3</v>
      </c>
      <c r="U10" s="114">
        <f>VLOOKUP(I10,'Maturity Rating'!A$14:B$17,2,FALSE)</f>
        <v>3</v>
      </c>
      <c r="V10" s="114">
        <f>VLOOKUP(J10,'Maturity Rating'!A$20:B$23,2,FALSE)</f>
        <v>3</v>
      </c>
      <c r="W10" t="str">
        <f t="shared" si="1"/>
        <v>3333</v>
      </c>
    </row>
    <row r="11" spans="1:25" ht="29">
      <c r="A11" s="3">
        <v>17.8</v>
      </c>
      <c r="B11" s="345"/>
      <c r="C11" s="365"/>
      <c r="D11" s="257"/>
      <c r="E11" s="266" t="s">
        <v>667</v>
      </c>
      <c r="F11" s="55" t="s">
        <v>89</v>
      </c>
      <c r="G11" s="257" t="s">
        <v>118</v>
      </c>
      <c r="H11" s="257" t="s">
        <v>100</v>
      </c>
      <c r="I11" s="257" t="s">
        <v>120</v>
      </c>
      <c r="J11" s="257" t="s">
        <v>129</v>
      </c>
      <c r="K11" s="271">
        <f t="shared" si="0"/>
        <v>3</v>
      </c>
      <c r="L11" s="273">
        <f>IF(AND(D11="K",K11=1),'Maturity Rating'!$E$8,IF(K11="NA",K11,IF(D11="K",K11*'Maturity Rating'!$E$7,K11)))</f>
        <v>3</v>
      </c>
      <c r="M11" s="339"/>
      <c r="N11" s="339"/>
      <c r="O11" s="361"/>
      <c r="P11" s="27"/>
      <c r="Q11" s="27"/>
      <c r="S11" s="114">
        <f>VLOOKUP(G11,'Maturity Rating'!A$2:B$5,2,FALSE)</f>
        <v>3</v>
      </c>
      <c r="T11" s="114">
        <f>VLOOKUP(H11,'Maturity Rating'!A$8:B$11,2,FALSE)</f>
        <v>3</v>
      </c>
      <c r="U11" s="114">
        <f>VLOOKUP(I11,'Maturity Rating'!A$14:B$17,2,FALSE)</f>
        <v>3</v>
      </c>
      <c r="V11" s="114">
        <f>VLOOKUP(J11,'Maturity Rating'!A$20:B$23,2,FALSE)</f>
        <v>3</v>
      </c>
      <c r="W11" t="str">
        <f t="shared" si="1"/>
        <v>3333</v>
      </c>
    </row>
    <row r="12" spans="1:25" ht="29">
      <c r="A12" s="3">
        <v>17.899999999999999</v>
      </c>
      <c r="B12" s="345"/>
      <c r="C12" s="365"/>
      <c r="D12" s="257"/>
      <c r="E12" s="298" t="s">
        <v>668</v>
      </c>
      <c r="F12" s="180" t="s">
        <v>89</v>
      </c>
      <c r="G12" s="257" t="s">
        <v>118</v>
      </c>
      <c r="H12" s="55" t="s">
        <v>100</v>
      </c>
      <c r="I12" s="257" t="s">
        <v>120</v>
      </c>
      <c r="J12" s="257" t="s">
        <v>129</v>
      </c>
      <c r="K12" s="271">
        <f t="shared" si="0"/>
        <v>3</v>
      </c>
      <c r="L12" s="273">
        <f>IF(AND(D12="K",K12=1),'Maturity Rating'!$E$8,IF(K12="NA",K12,IF(D12="K",K12*'Maturity Rating'!$E$7,K12)))</f>
        <v>3</v>
      </c>
      <c r="M12" s="339"/>
      <c r="N12" s="339"/>
      <c r="O12" s="361"/>
      <c r="P12" s="27"/>
      <c r="Q12" s="27"/>
      <c r="S12" s="114">
        <f>VLOOKUP(G12,'Maturity Rating'!A$2:B$5,2,FALSE)</f>
        <v>3</v>
      </c>
      <c r="T12" s="114">
        <f>VLOOKUP(H12,'Maturity Rating'!A$8:B$11,2,FALSE)</f>
        <v>3</v>
      </c>
      <c r="U12" s="114">
        <f>VLOOKUP(I12,'Maturity Rating'!A$14:B$17,2,FALSE)</f>
        <v>3</v>
      </c>
      <c r="V12" s="114">
        <f>VLOOKUP(J12,'Maturity Rating'!A$20:B$23,2,FALSE)</f>
        <v>3</v>
      </c>
      <c r="W12" t="str">
        <f t="shared" si="1"/>
        <v>3333</v>
      </c>
    </row>
    <row r="13" spans="1:25" ht="92.25" customHeight="1">
      <c r="A13" s="3" t="s">
        <v>669</v>
      </c>
      <c r="B13" s="345"/>
      <c r="C13" s="365"/>
      <c r="D13" s="257"/>
      <c r="E13" s="266" t="s">
        <v>670</v>
      </c>
      <c r="F13" s="257" t="s">
        <v>105</v>
      </c>
      <c r="G13" s="257" t="s">
        <v>118</v>
      </c>
      <c r="H13" s="257" t="s">
        <v>100</v>
      </c>
      <c r="I13" s="257" t="s">
        <v>120</v>
      </c>
      <c r="J13" s="55" t="s">
        <v>129</v>
      </c>
      <c r="K13" s="271">
        <f t="shared" si="0"/>
        <v>3</v>
      </c>
      <c r="L13" s="273">
        <f>IF(AND(D13="K",K13=1),'Maturity Rating'!$E$8,IF(K13="NA",K13,IF(D13="K",K13*'Maturity Rating'!$E$7,K13)))</f>
        <v>3</v>
      </c>
      <c r="M13" s="339"/>
      <c r="N13" s="339"/>
      <c r="O13" s="361"/>
      <c r="P13" s="27"/>
      <c r="Q13" s="27"/>
      <c r="S13" s="114">
        <f>VLOOKUP(G13,'Maturity Rating'!A$2:B$5,2,FALSE)</f>
        <v>3</v>
      </c>
      <c r="T13" s="114">
        <f>VLOOKUP(H13,'Maturity Rating'!A$8:B$11,2,FALSE)</f>
        <v>3</v>
      </c>
      <c r="U13" s="114">
        <f>VLOOKUP(I13,'Maturity Rating'!A$14:B$17,2,FALSE)</f>
        <v>3</v>
      </c>
      <c r="V13" s="114">
        <f>VLOOKUP(J13,'Maturity Rating'!A$20:B$23,2,FALSE)</f>
        <v>3</v>
      </c>
      <c r="W13" t="str">
        <f t="shared" si="1"/>
        <v>3333</v>
      </c>
    </row>
    <row r="14" spans="1:25" ht="31.5" customHeight="1">
      <c r="A14" s="3">
        <v>17.11</v>
      </c>
      <c r="B14" s="345"/>
      <c r="C14" s="365"/>
      <c r="D14" s="257"/>
      <c r="E14" s="28" t="s">
        <v>671</v>
      </c>
      <c r="F14" s="180" t="s">
        <v>89</v>
      </c>
      <c r="G14" s="257" t="s">
        <v>127</v>
      </c>
      <c r="H14" s="257" t="s">
        <v>95</v>
      </c>
      <c r="I14" s="257" t="s">
        <v>91</v>
      </c>
      <c r="J14" s="257" t="s">
        <v>102</v>
      </c>
      <c r="K14" s="271">
        <f t="shared" si="0"/>
        <v>1</v>
      </c>
      <c r="L14" s="273">
        <f>IF(AND(D14="K",K14=1),'Maturity Rating'!$E$8,IF(K14="NA",K14,IF(D14="K",K14*'Maturity Rating'!$E$7,K14)))</f>
        <v>1</v>
      </c>
      <c r="M14" s="339"/>
      <c r="N14" s="339"/>
      <c r="O14" s="361"/>
      <c r="P14" s="27"/>
      <c r="Q14" s="27"/>
      <c r="S14" s="114">
        <f>VLOOKUP(G14,'Maturity Rating'!A$2:B$5,2,FALSE)</f>
        <v>1</v>
      </c>
      <c r="T14" s="114">
        <f>VLOOKUP(H14,'Maturity Rating'!A$8:B$11,2,FALSE)</f>
        <v>1</v>
      </c>
      <c r="U14" s="114" t="str">
        <f>VLOOKUP(I14,'Maturity Rating'!A$14:B$17,2,FALSE)</f>
        <v>NA</v>
      </c>
      <c r="V14" s="114">
        <f>VLOOKUP(J14,'Maturity Rating'!A$20:B$23,2,FALSE)</f>
        <v>1</v>
      </c>
      <c r="W14" t="str">
        <f t="shared" si="1"/>
        <v>11NA1</v>
      </c>
    </row>
    <row r="15" spans="1:25" ht="30" customHeight="1">
      <c r="A15" s="3">
        <v>17.12</v>
      </c>
      <c r="B15" s="345"/>
      <c r="C15" s="365"/>
      <c r="D15" s="257"/>
      <c r="E15" s="1" t="s">
        <v>672</v>
      </c>
      <c r="F15" s="55" t="s">
        <v>89</v>
      </c>
      <c r="G15" s="257" t="s">
        <v>118</v>
      </c>
      <c r="H15" s="257" t="s">
        <v>100</v>
      </c>
      <c r="I15" s="257" t="s">
        <v>120</v>
      </c>
      <c r="J15" s="55" t="s">
        <v>129</v>
      </c>
      <c r="K15" s="271">
        <f t="shared" si="0"/>
        <v>3</v>
      </c>
      <c r="L15" s="273">
        <f>IF(AND(D15="K",K15=1),'Maturity Rating'!$E$8,IF(K15="NA",K15,IF(D15="K",K15*'Maturity Rating'!$E$7,K15)))</f>
        <v>3</v>
      </c>
      <c r="M15" s="339"/>
      <c r="N15" s="339"/>
      <c r="O15" s="361"/>
      <c r="P15" s="27"/>
      <c r="Q15" s="229"/>
      <c r="S15" s="114">
        <f>VLOOKUP(G15,'Maturity Rating'!A$2:B$5,2,FALSE)</f>
        <v>3</v>
      </c>
      <c r="T15" s="114">
        <f>VLOOKUP(H15,'Maturity Rating'!A$8:B$11,2,FALSE)</f>
        <v>3</v>
      </c>
      <c r="U15" s="114">
        <f>VLOOKUP(I15,'Maturity Rating'!A$14:B$17,2,FALSE)</f>
        <v>3</v>
      </c>
      <c r="V15" s="114">
        <f>VLOOKUP(J15,'Maturity Rating'!A$20:B$23,2,FALSE)</f>
        <v>3</v>
      </c>
      <c r="W15" t="str">
        <f t="shared" si="1"/>
        <v>3333</v>
      </c>
    </row>
    <row r="16" spans="1:25" s="123" customFormat="1" ht="30" customHeight="1">
      <c r="A16" s="153">
        <v>17.13</v>
      </c>
      <c r="B16" s="345"/>
      <c r="C16" s="365"/>
      <c r="D16" s="55"/>
      <c r="E16" s="1" t="s">
        <v>673</v>
      </c>
      <c r="F16" s="55" t="s">
        <v>105</v>
      </c>
      <c r="G16" s="257" t="s">
        <v>118</v>
      </c>
      <c r="H16" s="55" t="s">
        <v>100</v>
      </c>
      <c r="I16" s="55" t="s">
        <v>120</v>
      </c>
      <c r="J16" s="55" t="s">
        <v>129</v>
      </c>
      <c r="K16" s="151">
        <f t="shared" si="0"/>
        <v>3</v>
      </c>
      <c r="L16" s="152">
        <f>IF(AND(D16="K",K16=1),'Maturity Rating'!$E$8,IF(K16="NA",K16,IF(D16="K",K16*'Maturity Rating'!$E$7,K16)))</f>
        <v>3</v>
      </c>
      <c r="M16" s="339"/>
      <c r="N16" s="339"/>
      <c r="O16" s="361"/>
      <c r="P16" s="231"/>
      <c r="Q16" s="231"/>
      <c r="R16" s="232"/>
      <c r="S16" s="60">
        <f>VLOOKUP(G16,'Maturity Rating'!A$2:B$5,2,FALSE)</f>
        <v>3</v>
      </c>
      <c r="T16" s="60">
        <f>VLOOKUP(H16,'Maturity Rating'!A$8:B$11,2,FALSE)</f>
        <v>3</v>
      </c>
      <c r="U16" s="60">
        <f>VLOOKUP(I16,'Maturity Rating'!A$14:B$17,2,FALSE)</f>
        <v>3</v>
      </c>
      <c r="V16" s="60">
        <f>VLOOKUP(J16,'Maturity Rating'!A$20:B$23,2,FALSE)</f>
        <v>3</v>
      </c>
      <c r="W16" s="232" t="str">
        <f t="shared" si="1"/>
        <v>3333</v>
      </c>
      <c r="X16" s="232"/>
      <c r="Y16" s="232"/>
    </row>
    <row r="17" spans="1:25">
      <c r="A17" s="3">
        <v>17.14</v>
      </c>
      <c r="B17" s="345"/>
      <c r="C17" s="365"/>
      <c r="D17" s="257"/>
      <c r="E17" s="1" t="s">
        <v>674</v>
      </c>
      <c r="F17" s="55" t="s">
        <v>105</v>
      </c>
      <c r="G17" s="257" t="s">
        <v>118</v>
      </c>
      <c r="H17" s="257" t="s">
        <v>100</v>
      </c>
      <c r="I17" s="55" t="s">
        <v>120</v>
      </c>
      <c r="J17" s="257" t="s">
        <v>129</v>
      </c>
      <c r="K17" s="271">
        <f t="shared" si="0"/>
        <v>3</v>
      </c>
      <c r="L17" s="273">
        <f>IF(AND(D17="K",K17=1),'Maturity Rating'!$E$8,IF(K17="NA",K17,IF(D17="K",K17*'Maturity Rating'!$E$7,K17)))</f>
        <v>3</v>
      </c>
      <c r="M17" s="339"/>
      <c r="N17" s="339"/>
      <c r="O17" s="361"/>
      <c r="P17" s="27"/>
      <c r="Q17" s="27"/>
      <c r="S17" s="114">
        <f>VLOOKUP(G17,'Maturity Rating'!A$2:B$5,2,FALSE)</f>
        <v>3</v>
      </c>
      <c r="T17" s="114">
        <f>VLOOKUP(H17,'Maturity Rating'!A$8:B$11,2,FALSE)</f>
        <v>3</v>
      </c>
      <c r="U17" s="114">
        <f>VLOOKUP(I17,'Maturity Rating'!A$14:B$17,2,FALSE)</f>
        <v>3</v>
      </c>
      <c r="V17" s="114">
        <f>VLOOKUP(J17,'Maturity Rating'!A$20:B$23,2,FALSE)</f>
        <v>3</v>
      </c>
      <c r="W17" t="str">
        <f t="shared" si="1"/>
        <v>3333</v>
      </c>
    </row>
    <row r="18" spans="1:25">
      <c r="A18" s="3">
        <v>17.149999999999999</v>
      </c>
      <c r="B18" s="345"/>
      <c r="C18" s="365"/>
      <c r="D18" s="257"/>
      <c r="E18" s="266" t="s">
        <v>675</v>
      </c>
      <c r="F18" s="55" t="s">
        <v>105</v>
      </c>
      <c r="G18" s="257" t="s">
        <v>118</v>
      </c>
      <c r="H18" s="257" t="s">
        <v>100</v>
      </c>
      <c r="I18" s="257" t="s">
        <v>101</v>
      </c>
      <c r="J18" s="55" t="s">
        <v>129</v>
      </c>
      <c r="K18" s="271">
        <f t="shared" si="0"/>
        <v>2.75</v>
      </c>
      <c r="L18" s="273">
        <f>IF(AND(D18="K",K18=1),'Maturity Rating'!$E$8,IF(K18="NA",K18,IF(D18="K",K18*'Maturity Rating'!$E$7,K18)))</f>
        <v>2.75</v>
      </c>
      <c r="M18" s="339"/>
      <c r="N18" s="339"/>
      <c r="O18" s="361"/>
      <c r="P18" s="27"/>
      <c r="Q18" s="27"/>
      <c r="S18" s="114">
        <f>VLOOKUP(G18,'Maturity Rating'!A$2:B$5,2,FALSE)</f>
        <v>3</v>
      </c>
      <c r="T18" s="114">
        <f>VLOOKUP(H18,'Maturity Rating'!A$8:B$11,2,FALSE)</f>
        <v>3</v>
      </c>
      <c r="U18" s="114">
        <f>VLOOKUP(I18,'Maturity Rating'!A$14:B$17,2,FALSE)</f>
        <v>2</v>
      </c>
      <c r="V18" s="114">
        <f>VLOOKUP(J18,'Maturity Rating'!A$20:B$23,2,FALSE)</f>
        <v>3</v>
      </c>
      <c r="W18" t="str">
        <f t="shared" si="1"/>
        <v>3323</v>
      </c>
    </row>
    <row r="19" spans="1:25">
      <c r="A19" s="3">
        <v>17.16</v>
      </c>
      <c r="B19" s="345"/>
      <c r="C19" s="365"/>
      <c r="D19" s="257" t="s">
        <v>87</v>
      </c>
      <c r="E19" s="299" t="s">
        <v>676</v>
      </c>
      <c r="F19" s="55" t="s">
        <v>105</v>
      </c>
      <c r="G19" s="257" t="s">
        <v>118</v>
      </c>
      <c r="H19" s="257" t="s">
        <v>100</v>
      </c>
      <c r="I19" s="257" t="s">
        <v>120</v>
      </c>
      <c r="J19" s="257" t="s">
        <v>129</v>
      </c>
      <c r="K19" s="271">
        <f t="shared" si="0"/>
        <v>3</v>
      </c>
      <c r="L19" s="273">
        <f>IF(AND(D19="K",K19=1),'Maturity Rating'!$E$8,IF(K19="NA",K19,IF(D19="K",K19*'Maturity Rating'!$E$7,K19)))</f>
        <v>3.5999999999999996</v>
      </c>
      <c r="M19" s="339"/>
      <c r="N19" s="339"/>
      <c r="O19" s="361"/>
      <c r="P19" s="27"/>
      <c r="Q19" s="27"/>
      <c r="S19" s="114">
        <f>VLOOKUP(G19,'Maturity Rating'!A$2:B$5,2,FALSE)</f>
        <v>3</v>
      </c>
      <c r="T19" s="114">
        <f>VLOOKUP(H19,'Maturity Rating'!A$8:B$11,2,FALSE)</f>
        <v>3</v>
      </c>
      <c r="U19" s="114">
        <f>VLOOKUP(I19,'Maturity Rating'!A$14:B$17,2,FALSE)</f>
        <v>3</v>
      </c>
      <c r="V19" s="114">
        <f>VLOOKUP(J19,'Maturity Rating'!A$20:B$23,2,FALSE)</f>
        <v>3</v>
      </c>
      <c r="W19" t="str">
        <f t="shared" si="1"/>
        <v>3333</v>
      </c>
    </row>
    <row r="20" spans="1:25" ht="30.75" customHeight="1" thickBot="1">
      <c r="A20" s="111">
        <v>17.170000000000002</v>
      </c>
      <c r="B20" s="346"/>
      <c r="C20" s="366"/>
      <c r="D20" s="258" t="s">
        <v>87</v>
      </c>
      <c r="E20" s="301" t="s">
        <v>677</v>
      </c>
      <c r="F20" s="112" t="s">
        <v>105</v>
      </c>
      <c r="G20" s="259" t="s">
        <v>127</v>
      </c>
      <c r="H20" s="258" t="s">
        <v>95</v>
      </c>
      <c r="I20" s="258" t="s">
        <v>120</v>
      </c>
      <c r="J20" s="259" t="s">
        <v>102</v>
      </c>
      <c r="K20" s="272">
        <f t="shared" si="0"/>
        <v>1.5</v>
      </c>
      <c r="L20" s="274">
        <f>IF(AND(D20="K",K20=1),'Maturity Rating'!$E$8,IF(K20="NA",K20,IF(D20="K",K20*'Maturity Rating'!$E$7,K20)))</f>
        <v>1.7999999999999998</v>
      </c>
      <c r="M20" s="339"/>
      <c r="N20" s="340"/>
      <c r="O20" s="361"/>
      <c r="P20" s="27"/>
      <c r="Q20" s="27"/>
      <c r="S20" s="114">
        <f>VLOOKUP(G20,'Maturity Rating'!A$2:B$5,2,FALSE)</f>
        <v>1</v>
      </c>
      <c r="T20" s="114">
        <f>VLOOKUP(H20,'Maturity Rating'!A$8:B$11,2,FALSE)</f>
        <v>1</v>
      </c>
      <c r="U20" s="114">
        <f>VLOOKUP(I20,'Maturity Rating'!A$14:B$17,2,FALSE)</f>
        <v>3</v>
      </c>
      <c r="V20" s="114">
        <f>VLOOKUP(J20,'Maturity Rating'!A$20:B$23,2,FALSE)</f>
        <v>1</v>
      </c>
      <c r="W20" t="str">
        <f t="shared" si="1"/>
        <v>1131</v>
      </c>
    </row>
    <row r="21" spans="1:25" ht="29">
      <c r="A21" s="4">
        <v>17.18</v>
      </c>
      <c r="B21" s="359" t="s">
        <v>678</v>
      </c>
      <c r="C21" s="368" t="s">
        <v>679</v>
      </c>
      <c r="D21" s="256" t="s">
        <v>87</v>
      </c>
      <c r="E21" s="300" t="s">
        <v>680</v>
      </c>
      <c r="F21" s="77" t="s">
        <v>89</v>
      </c>
      <c r="G21" s="263" t="s">
        <v>90</v>
      </c>
      <c r="H21" s="256" t="s">
        <v>125</v>
      </c>
      <c r="I21" s="256" t="s">
        <v>206</v>
      </c>
      <c r="J21" s="263" t="s">
        <v>129</v>
      </c>
      <c r="K21" s="271">
        <f t="shared" si="0"/>
        <v>2</v>
      </c>
      <c r="L21" s="278">
        <f>IF(AND(D21="K",K21=1),'Maturity Rating'!$E$8,IF(K21="NA",K21,IF(D21="K",K21*'Maturity Rating'!$E$7,K21)))</f>
        <v>2.4</v>
      </c>
      <c r="M21" s="381">
        <f>IF(X21="NANANANANANANANANA",K21,AVERAGE(L21:L29))</f>
        <v>2.0444444444444443</v>
      </c>
      <c r="N21" s="338">
        <f>IF(M21&lt;1.1,1,IF(M21="NA",M21,(MIN(5,M21/3*5))))</f>
        <v>3.4074074074074074</v>
      </c>
      <c r="O21" s="341" t="str">
        <f>IF(N21="NA",N21,VLOOKUP(Q21,'Maturity Rating'!G4:H8,2,FALSE))</f>
        <v>Defined</v>
      </c>
      <c r="P21" s="27"/>
      <c r="Q21" s="229">
        <f>IF(N21="NA",N21,ROUNDDOWN(N21,0))</f>
        <v>3</v>
      </c>
      <c r="S21" s="114">
        <f>VLOOKUP(G21,'Maturity Rating'!A$2:B$5,2,FALSE)</f>
        <v>2</v>
      </c>
      <c r="T21" s="114">
        <f>VLOOKUP(H21,'Maturity Rating'!A$8:B$11,2,FALSE)</f>
        <v>2</v>
      </c>
      <c r="U21" s="114">
        <f>VLOOKUP(I21,'Maturity Rating'!A$14:B$17,2,FALSE)</f>
        <v>1</v>
      </c>
      <c r="V21" s="114">
        <f>VLOOKUP(J21,'Maturity Rating'!A$20:B$23,2,FALSE)</f>
        <v>3</v>
      </c>
      <c r="W21" t="str">
        <f t="shared" si="1"/>
        <v>2213</v>
      </c>
      <c r="X21" t="str">
        <f>CONCATENATE(L21,L22,L23,L24,L25,L26,L27,L28,L29)</f>
        <v>2.4313.62.41311</v>
      </c>
    </row>
    <row r="22" spans="1:25">
      <c r="A22" s="3">
        <v>17.190000000000001</v>
      </c>
      <c r="B22" s="345"/>
      <c r="C22" s="365"/>
      <c r="D22" s="257"/>
      <c r="E22" s="1" t="s">
        <v>681</v>
      </c>
      <c r="F22" s="257" t="s">
        <v>89</v>
      </c>
      <c r="G22" s="257" t="s">
        <v>118</v>
      </c>
      <c r="H22" s="257" t="s">
        <v>100</v>
      </c>
      <c r="I22" s="257" t="s">
        <v>120</v>
      </c>
      <c r="J22" s="257" t="s">
        <v>129</v>
      </c>
      <c r="K22" s="271">
        <f t="shared" si="0"/>
        <v>3</v>
      </c>
      <c r="L22" s="273">
        <f>IF(AND(D22="K",K22=1),'Maturity Rating'!$E$8,IF(K22="NA",K22,IF(D22="K",K22*'Maturity Rating'!$E$7,K22)))</f>
        <v>3</v>
      </c>
      <c r="M22" s="374"/>
      <c r="N22" s="339"/>
      <c r="O22" s="342"/>
      <c r="P22" s="27"/>
      <c r="Q22" s="27"/>
      <c r="S22" s="114">
        <f>VLOOKUP(G22,'Maturity Rating'!A$2:B$5,2,FALSE)</f>
        <v>3</v>
      </c>
      <c r="T22" s="114">
        <f>VLOOKUP(H22,'Maturity Rating'!A$8:B$11,2,FALSE)</f>
        <v>3</v>
      </c>
      <c r="U22" s="114">
        <f>VLOOKUP(I22,'Maturity Rating'!A$14:B$17,2,FALSE)</f>
        <v>3</v>
      </c>
      <c r="V22" s="114">
        <f>VLOOKUP(J22,'Maturity Rating'!A$20:B$23,2,FALSE)</f>
        <v>3</v>
      </c>
      <c r="W22" t="str">
        <f t="shared" si="1"/>
        <v>3333</v>
      </c>
    </row>
    <row r="23" spans="1:25" ht="29">
      <c r="A23" s="3" t="s">
        <v>682</v>
      </c>
      <c r="B23" s="345"/>
      <c r="C23" s="365"/>
      <c r="D23" s="257"/>
      <c r="E23" s="266" t="s">
        <v>683</v>
      </c>
      <c r="F23" s="55" t="s">
        <v>89</v>
      </c>
      <c r="G23" s="257" t="s">
        <v>127</v>
      </c>
      <c r="H23" s="257" t="s">
        <v>95</v>
      </c>
      <c r="I23" s="257" t="s">
        <v>91</v>
      </c>
      <c r="J23" s="257" t="s">
        <v>102</v>
      </c>
      <c r="K23" s="271">
        <f t="shared" si="0"/>
        <v>1</v>
      </c>
      <c r="L23" s="273">
        <f>IF(AND(D23="K",K23=1),'Maturity Rating'!$E$8,IF(K23="NA",K23,IF(D23="K",K23*'Maturity Rating'!$E$7,K23)))</f>
        <v>1</v>
      </c>
      <c r="M23" s="374"/>
      <c r="N23" s="339"/>
      <c r="O23" s="342"/>
      <c r="P23" s="27"/>
      <c r="Q23" s="27"/>
      <c r="S23" s="114">
        <f>VLOOKUP(G23,'Maturity Rating'!A$2:B$5,2,FALSE)</f>
        <v>1</v>
      </c>
      <c r="T23" s="114">
        <f>VLOOKUP(H23,'Maturity Rating'!A$8:B$11,2,FALSE)</f>
        <v>1</v>
      </c>
      <c r="U23" s="114" t="str">
        <f>VLOOKUP(I23,'Maturity Rating'!A$14:B$17,2,FALSE)</f>
        <v>NA</v>
      </c>
      <c r="V23" s="114">
        <f>VLOOKUP(J23,'Maturity Rating'!A$20:B$23,2,FALSE)</f>
        <v>1</v>
      </c>
      <c r="W23" t="str">
        <f t="shared" si="1"/>
        <v>11NA1</v>
      </c>
    </row>
    <row r="24" spans="1:25" ht="43.5">
      <c r="A24" s="3">
        <v>17.21</v>
      </c>
      <c r="B24" s="345"/>
      <c r="C24" s="365"/>
      <c r="D24" s="257" t="s">
        <v>87</v>
      </c>
      <c r="E24" s="52" t="s">
        <v>684</v>
      </c>
      <c r="F24" s="55" t="s">
        <v>89</v>
      </c>
      <c r="G24" s="257" t="s">
        <v>118</v>
      </c>
      <c r="H24" s="257" t="s">
        <v>100</v>
      </c>
      <c r="I24" s="257" t="s">
        <v>120</v>
      </c>
      <c r="J24" s="257" t="s">
        <v>129</v>
      </c>
      <c r="K24" s="271">
        <f t="shared" si="0"/>
        <v>3</v>
      </c>
      <c r="L24" s="273">
        <f>IF(AND(D24="K",K24=1),'Maturity Rating'!$E$8,IF(K24="NA",K24,IF(D24="K",K24*'Maturity Rating'!$E$7,K24)))</f>
        <v>3.5999999999999996</v>
      </c>
      <c r="M24" s="374"/>
      <c r="N24" s="339"/>
      <c r="O24" s="342"/>
      <c r="P24" s="27"/>
      <c r="Q24" s="27"/>
      <c r="S24" s="114">
        <f>VLOOKUP(G24,'Maturity Rating'!A$2:B$5,2,FALSE)</f>
        <v>3</v>
      </c>
      <c r="T24" s="114">
        <f>VLOOKUP(H24,'Maturity Rating'!A$8:B$11,2,FALSE)</f>
        <v>3</v>
      </c>
      <c r="U24" s="114">
        <f>VLOOKUP(I24,'Maturity Rating'!A$14:B$17,2,FALSE)</f>
        <v>3</v>
      </c>
      <c r="V24" s="114">
        <f>VLOOKUP(J24,'Maturity Rating'!A$20:B$23,2,FALSE)</f>
        <v>3</v>
      </c>
      <c r="W24" t="str">
        <f t="shared" si="1"/>
        <v>3333</v>
      </c>
    </row>
    <row r="25" spans="1:25" ht="43.5">
      <c r="A25" s="3">
        <v>17.22</v>
      </c>
      <c r="B25" s="345"/>
      <c r="C25" s="365"/>
      <c r="D25" s="257" t="s">
        <v>87</v>
      </c>
      <c r="E25" s="52" t="s">
        <v>685</v>
      </c>
      <c r="F25" s="55" t="s">
        <v>89</v>
      </c>
      <c r="G25" s="257" t="s">
        <v>90</v>
      </c>
      <c r="H25" s="257" t="s">
        <v>125</v>
      </c>
      <c r="I25" s="257" t="s">
        <v>101</v>
      </c>
      <c r="J25" s="257" t="s">
        <v>464</v>
      </c>
      <c r="K25" s="271">
        <f t="shared" si="0"/>
        <v>2</v>
      </c>
      <c r="L25" s="273">
        <f>IF(AND(D25="K",K25=1),'Maturity Rating'!$E$8,IF(K25="NA",K25,IF(D25="K",K25*'Maturity Rating'!$E$7,K25)))</f>
        <v>2.4</v>
      </c>
      <c r="M25" s="374"/>
      <c r="N25" s="339"/>
      <c r="O25" s="342"/>
      <c r="P25" s="27"/>
      <c r="Q25" s="229"/>
      <c r="S25" s="114">
        <f>VLOOKUP(G25,'Maturity Rating'!A$2:B$5,2,FALSE)</f>
        <v>2</v>
      </c>
      <c r="T25" s="114">
        <f>VLOOKUP(H25,'Maturity Rating'!A$8:B$11,2,FALSE)</f>
        <v>2</v>
      </c>
      <c r="U25" s="114">
        <f>VLOOKUP(I25,'Maturity Rating'!A$14:B$17,2,FALSE)</f>
        <v>2</v>
      </c>
      <c r="V25" s="114">
        <f>VLOOKUP(J25,'Maturity Rating'!A$20:B$23,2,FALSE)</f>
        <v>2</v>
      </c>
      <c r="W25" t="str">
        <f t="shared" si="1"/>
        <v>2222</v>
      </c>
    </row>
    <row r="26" spans="1:25" ht="29">
      <c r="A26" s="3">
        <v>17.23</v>
      </c>
      <c r="B26" s="345"/>
      <c r="C26" s="365"/>
      <c r="D26" s="257"/>
      <c r="E26" s="266" t="s">
        <v>686</v>
      </c>
      <c r="F26" s="60" t="s">
        <v>89</v>
      </c>
      <c r="G26" s="257" t="s">
        <v>127</v>
      </c>
      <c r="H26" s="257" t="s">
        <v>95</v>
      </c>
      <c r="I26" s="55" t="s">
        <v>91</v>
      </c>
      <c r="J26" s="257" t="s">
        <v>91</v>
      </c>
      <c r="K26" s="271">
        <f t="shared" si="0"/>
        <v>1</v>
      </c>
      <c r="L26" s="273">
        <f>IF(AND(D26="K",K26=1),'Maturity Rating'!$E$8,IF(K26="NA",K26,IF(D26="K",K26*'Maturity Rating'!$E$7,K26)))</f>
        <v>1</v>
      </c>
      <c r="M26" s="374"/>
      <c r="N26" s="339"/>
      <c r="O26" s="342"/>
      <c r="P26" s="27"/>
      <c r="Q26" s="27"/>
      <c r="S26" s="114">
        <f>VLOOKUP(G26,'Maturity Rating'!A$2:B$5,2,FALSE)</f>
        <v>1</v>
      </c>
      <c r="T26" s="114">
        <f>VLOOKUP(H26,'Maturity Rating'!A$8:B$11,2,FALSE)</f>
        <v>1</v>
      </c>
      <c r="U26" s="114" t="str">
        <f>VLOOKUP(I26,'Maturity Rating'!A$14:B$17,2,FALSE)</f>
        <v>NA</v>
      </c>
      <c r="V26" s="114" t="str">
        <f>VLOOKUP(J26,'Maturity Rating'!A$20:B$23,2,FALSE)</f>
        <v>NA</v>
      </c>
      <c r="W26" t="str">
        <f t="shared" si="1"/>
        <v>11NANA</v>
      </c>
    </row>
    <row r="27" spans="1:25" s="123" customFormat="1" ht="58.5" customHeight="1">
      <c r="A27" s="153">
        <v>17.239999999999998</v>
      </c>
      <c r="B27" s="345"/>
      <c r="C27" s="365"/>
      <c r="D27" s="55"/>
      <c r="E27" s="1" t="s">
        <v>687</v>
      </c>
      <c r="F27" s="55" t="s">
        <v>89</v>
      </c>
      <c r="G27" s="257" t="s">
        <v>118</v>
      </c>
      <c r="H27" s="55" t="s">
        <v>100</v>
      </c>
      <c r="I27" s="55" t="s">
        <v>120</v>
      </c>
      <c r="J27" s="257" t="s">
        <v>129</v>
      </c>
      <c r="K27" s="151">
        <f t="shared" si="0"/>
        <v>3</v>
      </c>
      <c r="L27" s="152">
        <f>IF(AND(D27="K",K27=1),'Maturity Rating'!$E$8,IF(K27="NA",K27,IF(D27="K",K27*'Maturity Rating'!$E$7,K27)))</f>
        <v>3</v>
      </c>
      <c r="M27" s="374"/>
      <c r="N27" s="339"/>
      <c r="O27" s="342"/>
      <c r="P27" s="231"/>
      <c r="Q27" s="231"/>
      <c r="R27" s="232"/>
      <c r="S27" s="60">
        <f>VLOOKUP(G27,'Maturity Rating'!A$2:B$5,2,FALSE)</f>
        <v>3</v>
      </c>
      <c r="T27" s="60">
        <f>VLOOKUP(H27,'Maturity Rating'!A$8:B$11,2,FALSE)</f>
        <v>3</v>
      </c>
      <c r="U27" s="60">
        <f>VLOOKUP(I27,'Maturity Rating'!A$14:B$17,2,FALSE)</f>
        <v>3</v>
      </c>
      <c r="V27" s="60">
        <f>VLOOKUP(J27,'Maturity Rating'!A$20:B$23,2,FALSE)</f>
        <v>3</v>
      </c>
      <c r="W27" s="232" t="str">
        <f t="shared" si="1"/>
        <v>3333</v>
      </c>
      <c r="X27" s="232"/>
      <c r="Y27" s="232"/>
    </row>
    <row r="28" spans="1:25" s="123" customFormat="1" ht="58.5" customHeight="1">
      <c r="A28" s="167">
        <v>17.25</v>
      </c>
      <c r="B28" s="346"/>
      <c r="C28" s="366"/>
      <c r="D28" s="112"/>
      <c r="E28" s="267" t="s">
        <v>688</v>
      </c>
      <c r="F28" s="112" t="s">
        <v>89</v>
      </c>
      <c r="G28" s="257" t="s">
        <v>127</v>
      </c>
      <c r="H28" s="55" t="s">
        <v>95</v>
      </c>
      <c r="I28" s="55" t="s">
        <v>91</v>
      </c>
      <c r="J28" s="257" t="s">
        <v>91</v>
      </c>
      <c r="K28" s="151">
        <f t="shared" ref="K28" si="2">IF(W28="NANANANA",S28,IF(AND(OR(G28="Formally Documented",G28="Informally Documented"),H28="Not Implemented"),0.5*AVERAGE(S28:V28),AVERAGE(S28:V28)))</f>
        <v>1</v>
      </c>
      <c r="L28" s="152">
        <f>IF(AND(D28="K",K28=1),'Maturity Rating'!$E$8,IF(K28="NA",K28,IF(D28="K",K28*'Maturity Rating'!$E$7,K28)))</f>
        <v>1</v>
      </c>
      <c r="M28" s="375"/>
      <c r="N28" s="339"/>
      <c r="O28" s="352"/>
      <c r="P28" s="231"/>
      <c r="Q28" s="231"/>
      <c r="R28" s="232"/>
      <c r="S28" s="60">
        <f>VLOOKUP(G28,'Maturity Rating'!A$2:B$5,2,FALSE)</f>
        <v>1</v>
      </c>
      <c r="T28" s="60">
        <f>VLOOKUP(H28,'Maturity Rating'!A$8:B$11,2,FALSE)</f>
        <v>1</v>
      </c>
      <c r="U28" s="60" t="str">
        <f>VLOOKUP(I28,'Maturity Rating'!A$14:B$17,2,FALSE)</f>
        <v>NA</v>
      </c>
      <c r="V28" s="60" t="str">
        <f>VLOOKUP(J28,'Maturity Rating'!A$20:B$23,2,FALSE)</f>
        <v>NA</v>
      </c>
      <c r="W28" s="232" t="str">
        <f t="shared" ref="W28" si="3">CONCATENATE(S28,T28,U28,V28)</f>
        <v>11NANA</v>
      </c>
      <c r="X28" s="232"/>
      <c r="Y28" s="232"/>
    </row>
    <row r="29" spans="1:25" ht="29.25" customHeight="1" thickBot="1">
      <c r="A29" s="156">
        <v>17.260000000000002</v>
      </c>
      <c r="B29" s="346"/>
      <c r="C29" s="366"/>
      <c r="D29" s="258"/>
      <c r="E29" s="267" t="s">
        <v>689</v>
      </c>
      <c r="F29" s="112" t="s">
        <v>89</v>
      </c>
      <c r="G29" s="259" t="s">
        <v>127</v>
      </c>
      <c r="H29" s="258" t="s">
        <v>95</v>
      </c>
      <c r="I29" s="258" t="s">
        <v>91</v>
      </c>
      <c r="J29" s="259" t="s">
        <v>91</v>
      </c>
      <c r="K29" s="272">
        <f t="shared" si="0"/>
        <v>1</v>
      </c>
      <c r="L29" s="274">
        <f>IF(AND(D29="K",K29=1),'Maturity Rating'!$E$8,IF(K29="NA",K29,IF(D29="K",K29*'Maturity Rating'!$E$7,K29)))</f>
        <v>1</v>
      </c>
      <c r="M29" s="375"/>
      <c r="N29" s="340"/>
      <c r="O29" s="352"/>
      <c r="P29" s="27"/>
      <c r="Q29" s="27"/>
      <c r="S29" s="114">
        <f>VLOOKUP(G29,'Maturity Rating'!A$2:B$5,2,FALSE)</f>
        <v>1</v>
      </c>
      <c r="T29" s="114">
        <f>VLOOKUP(H29,'Maturity Rating'!A$8:B$11,2,FALSE)</f>
        <v>1</v>
      </c>
      <c r="U29" s="114" t="str">
        <f>VLOOKUP(I29,'Maturity Rating'!A$14:B$17,2,FALSE)</f>
        <v>NA</v>
      </c>
      <c r="V29" s="114" t="str">
        <f>VLOOKUP(J29,'Maturity Rating'!A$20:B$23,2,FALSE)</f>
        <v>NA</v>
      </c>
      <c r="W29" t="str">
        <f t="shared" si="1"/>
        <v>11NANA</v>
      </c>
    </row>
    <row r="30" spans="1:25" s="123" customFormat="1" ht="29">
      <c r="A30" s="158">
        <v>17.27</v>
      </c>
      <c r="B30" s="391" t="s">
        <v>690</v>
      </c>
      <c r="C30" s="368" t="s">
        <v>691</v>
      </c>
      <c r="D30" s="56"/>
      <c r="E30" s="281" t="s">
        <v>692</v>
      </c>
      <c r="F30" s="154" t="s">
        <v>89</v>
      </c>
      <c r="G30" s="263" t="s">
        <v>118</v>
      </c>
      <c r="H30" s="56" t="s">
        <v>100</v>
      </c>
      <c r="I30" s="56" t="s">
        <v>120</v>
      </c>
      <c r="J30" s="99" t="s">
        <v>129</v>
      </c>
      <c r="K30" s="151">
        <f t="shared" si="0"/>
        <v>3</v>
      </c>
      <c r="L30" s="155">
        <f>IF(AND(D30="K",K30=1),'Maturity Rating'!$E$8,IF(K30="NA",K30,IF(D30="K",K30*'Maturity Rating'!$E$7,K30)))</f>
        <v>3</v>
      </c>
      <c r="M30" s="381">
        <f>IF(X25="NANANANANA",K25,AVERAGE(L30:L34))</f>
        <v>2.0499999999999998</v>
      </c>
      <c r="N30" s="381">
        <f>IF(M30&lt;1.1,1,IF(M30="NA",M30,(MIN(5,M30/3*5))))</f>
        <v>3.4166666666666661</v>
      </c>
      <c r="O30" s="341" t="str">
        <f>IF(N30="NA",N30,VLOOKUP(Q30,'Maturity Rating'!G4:H8,2,FALSE))</f>
        <v>Defined</v>
      </c>
      <c r="P30" s="231"/>
      <c r="Q30" s="253">
        <f>IF(N30="NA",N30,ROUNDDOWN(N30,0))</f>
        <v>3</v>
      </c>
      <c r="R30" s="232"/>
      <c r="S30" s="60">
        <f>VLOOKUP(G30,'Maturity Rating'!A$2:B$5,2,FALSE)</f>
        <v>3</v>
      </c>
      <c r="T30" s="60">
        <f>VLOOKUP(H30,'Maturity Rating'!A$8:B$11,2,FALSE)</f>
        <v>3</v>
      </c>
      <c r="U30" s="60">
        <f>VLOOKUP(I30,'Maturity Rating'!A$14:B$17,2,FALSE)</f>
        <v>3</v>
      </c>
      <c r="V30" s="60">
        <f>VLOOKUP(J30,'Maturity Rating'!A$20:B$23,2,FALSE)</f>
        <v>3</v>
      </c>
      <c r="W30" s="232" t="str">
        <f t="shared" si="1"/>
        <v>3333</v>
      </c>
      <c r="X30" s="232" t="str">
        <f>CONCATENATE(L30,L31,L32,L33,L34)</f>
        <v>332.2511</v>
      </c>
      <c r="Y30" s="232"/>
    </row>
    <row r="31" spans="1:25" ht="33.75" customHeight="1">
      <c r="A31" s="153" t="s">
        <v>693</v>
      </c>
      <c r="B31" s="392"/>
      <c r="C31" s="365"/>
      <c r="D31" s="257"/>
      <c r="E31" s="28" t="s">
        <v>694</v>
      </c>
      <c r="F31" s="180" t="s">
        <v>89</v>
      </c>
      <c r="G31" s="257" t="s">
        <v>118</v>
      </c>
      <c r="H31" s="55" t="s">
        <v>100</v>
      </c>
      <c r="I31" s="55" t="s">
        <v>120</v>
      </c>
      <c r="J31" s="257" t="s">
        <v>129</v>
      </c>
      <c r="K31" s="271">
        <f t="shared" si="0"/>
        <v>3</v>
      </c>
      <c r="L31" s="273">
        <f>IF(AND(D31="K",K31=1),'Maturity Rating'!$E$8,IF(K31="NA",K31,IF(D31="K",K31*'Maturity Rating'!$E$7,K31)))</f>
        <v>3</v>
      </c>
      <c r="M31" s="374"/>
      <c r="N31" s="374"/>
      <c r="O31" s="342"/>
      <c r="P31" s="27"/>
      <c r="Q31" s="27"/>
      <c r="S31" s="114">
        <f>VLOOKUP(G31,'Maturity Rating'!A$2:B$5,2,FALSE)</f>
        <v>3</v>
      </c>
      <c r="T31" s="114">
        <f>VLOOKUP(H31,'Maturity Rating'!A$8:B$11,2,FALSE)</f>
        <v>3</v>
      </c>
      <c r="U31" s="114">
        <f>VLOOKUP(I31,'Maturity Rating'!A$14:B$17,2,FALSE)</f>
        <v>3</v>
      </c>
      <c r="V31" s="114">
        <f>VLOOKUP(J31,'Maturity Rating'!A$20:B$23,2,FALSE)</f>
        <v>3</v>
      </c>
      <c r="W31" t="str">
        <f t="shared" si="1"/>
        <v>3333</v>
      </c>
    </row>
    <row r="32" spans="1:25" ht="29">
      <c r="A32" s="153">
        <v>17.29</v>
      </c>
      <c r="B32" s="392"/>
      <c r="C32" s="365"/>
      <c r="D32" s="257"/>
      <c r="E32" s="28" t="s">
        <v>695</v>
      </c>
      <c r="F32" s="180" t="s">
        <v>105</v>
      </c>
      <c r="G32" s="257" t="s">
        <v>90</v>
      </c>
      <c r="H32" s="257" t="s">
        <v>125</v>
      </c>
      <c r="I32" s="257" t="s">
        <v>101</v>
      </c>
      <c r="J32" s="55" t="s">
        <v>129</v>
      </c>
      <c r="K32" s="271">
        <f t="shared" si="0"/>
        <v>2.25</v>
      </c>
      <c r="L32" s="273">
        <f>IF(AND(D32="K",K32=1),'Maturity Rating'!$E$8,IF(K32="NA",K32,IF(D32="K",K32*'Maturity Rating'!$E$7,K32)))</f>
        <v>2.25</v>
      </c>
      <c r="M32" s="374"/>
      <c r="N32" s="374"/>
      <c r="O32" s="342"/>
      <c r="S32" s="114">
        <f>VLOOKUP(G32,'Maturity Rating'!A$2:B$5,2,FALSE)</f>
        <v>2</v>
      </c>
      <c r="T32" s="114">
        <f>VLOOKUP(H32,'Maturity Rating'!A$8:B$11,2,FALSE)</f>
        <v>2</v>
      </c>
      <c r="U32" s="114">
        <f>VLOOKUP(I32,'Maturity Rating'!A$14:B$17,2,FALSE)</f>
        <v>2</v>
      </c>
      <c r="V32" s="114">
        <f>VLOOKUP(J32,'Maturity Rating'!A$20:B$23,2,FALSE)</f>
        <v>3</v>
      </c>
      <c r="W32" t="str">
        <f t="shared" si="1"/>
        <v>2223</v>
      </c>
    </row>
    <row r="33" spans="1:25" s="123" customFormat="1" ht="29">
      <c r="A33" s="153" t="s">
        <v>696</v>
      </c>
      <c r="B33" s="392"/>
      <c r="C33" s="365"/>
      <c r="D33" s="55"/>
      <c r="E33" s="28" t="s">
        <v>697</v>
      </c>
      <c r="F33" s="58" t="s">
        <v>105</v>
      </c>
      <c r="G33" s="257" t="s">
        <v>127</v>
      </c>
      <c r="H33" s="55" t="s">
        <v>95</v>
      </c>
      <c r="I33" s="55" t="s">
        <v>91</v>
      </c>
      <c r="J33" s="55" t="s">
        <v>91</v>
      </c>
      <c r="K33" s="151">
        <f t="shared" si="0"/>
        <v>1</v>
      </c>
      <c r="L33" s="152">
        <f>IF(AND(D33="K",K33=1),'Maturity Rating'!$E$8,IF(K33="NA",K33,IF(D33="K",K33*'Maturity Rating'!$E$7,K33)))</f>
        <v>1</v>
      </c>
      <c r="M33" s="374"/>
      <c r="N33" s="374"/>
      <c r="O33" s="342"/>
      <c r="P33" s="232"/>
      <c r="Q33" s="232"/>
      <c r="R33" s="232"/>
      <c r="S33" s="60">
        <f>VLOOKUP(G33,'Maturity Rating'!A$2:B$5,2,FALSE)</f>
        <v>1</v>
      </c>
      <c r="T33" s="60">
        <f>VLOOKUP(H33,'Maturity Rating'!A$8:B$11,2,FALSE)</f>
        <v>1</v>
      </c>
      <c r="U33" s="60" t="str">
        <f>VLOOKUP(I33,'Maturity Rating'!A$14:B$17,2,FALSE)</f>
        <v>NA</v>
      </c>
      <c r="V33" s="60" t="str">
        <f>VLOOKUP(J33,'Maturity Rating'!A$20:B$23,2,FALSE)</f>
        <v>NA</v>
      </c>
      <c r="W33" s="232" t="str">
        <f t="shared" si="1"/>
        <v>11NANA</v>
      </c>
      <c r="X33" s="232"/>
      <c r="Y33" s="232"/>
    </row>
    <row r="34" spans="1:25" s="123" customFormat="1" ht="29.5" thickBot="1">
      <c r="A34" s="156">
        <v>17.309999999999999</v>
      </c>
      <c r="B34" s="394"/>
      <c r="C34" s="367"/>
      <c r="D34" s="59"/>
      <c r="E34" s="282" t="s">
        <v>698</v>
      </c>
      <c r="F34" s="57" t="s">
        <v>105</v>
      </c>
      <c r="G34" s="259" t="s">
        <v>127</v>
      </c>
      <c r="H34" s="59" t="s">
        <v>95</v>
      </c>
      <c r="I34" s="59" t="s">
        <v>206</v>
      </c>
      <c r="J34" s="59" t="s">
        <v>91</v>
      </c>
      <c r="K34" s="121">
        <f t="shared" si="0"/>
        <v>1</v>
      </c>
      <c r="L34" s="121">
        <f>IF(AND(D34="K",K34=1),'Maturity Rating'!$E$8,IF(K34="NA",K34,IF(D34="K",K34*'Maturity Rating'!$E$7,K34)))</f>
        <v>1</v>
      </c>
      <c r="M34" s="372"/>
      <c r="N34" s="372"/>
      <c r="O34" s="343"/>
      <c r="P34" s="232"/>
      <c r="Q34" s="232"/>
      <c r="R34" s="232"/>
      <c r="S34" s="60">
        <f>VLOOKUP(G34,'Maturity Rating'!A$2:B$5,2,FALSE)</f>
        <v>1</v>
      </c>
      <c r="T34" s="60">
        <f>VLOOKUP(H34,'Maturity Rating'!A$8:B$11,2,FALSE)</f>
        <v>1</v>
      </c>
      <c r="U34" s="60">
        <f>VLOOKUP(I34,'Maturity Rating'!A$14:B$17,2,FALSE)</f>
        <v>1</v>
      </c>
      <c r="V34" s="60" t="str">
        <f>VLOOKUP(J34,'Maturity Rating'!A$20:B$23,2,FALSE)</f>
        <v>NA</v>
      </c>
      <c r="W34" s="232" t="str">
        <f t="shared" si="1"/>
        <v>111NA</v>
      </c>
      <c r="X34" s="232"/>
      <c r="Y34" s="232"/>
    </row>
  </sheetData>
  <mergeCells count="21">
    <mergeCell ref="O4:O6"/>
    <mergeCell ref="B7:B20"/>
    <mergeCell ref="C7:C20"/>
    <mergeCell ref="M7:M20"/>
    <mergeCell ref="N7:N20"/>
    <mergeCell ref="O7:O20"/>
    <mergeCell ref="O21:O29"/>
    <mergeCell ref="B30:B34"/>
    <mergeCell ref="C30:C34"/>
    <mergeCell ref="M30:M34"/>
    <mergeCell ref="N30:N34"/>
    <mergeCell ref="O30:O34"/>
    <mergeCell ref="C1:D1"/>
    <mergeCell ref="B21:B29"/>
    <mergeCell ref="C21:C29"/>
    <mergeCell ref="M21:M29"/>
    <mergeCell ref="N21:N29"/>
    <mergeCell ref="B4:B6"/>
    <mergeCell ref="C4:C6"/>
    <mergeCell ref="M4:M6"/>
    <mergeCell ref="N4:N6"/>
  </mergeCells>
  <pageMargins left="0.7" right="0.7" top="0.75" bottom="0.75" header="0.3" footer="0.3"/>
  <pageSetup paperSize="9" orientation="portrait" r:id="rId1"/>
  <ignoredErrors>
    <ignoredError sqref="E1:F1 K5:O34 K4:L4 N4:O4" evalError="1"/>
  </ignoredErrors>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1400-000000000000}">
          <x14:formula1>
            <xm:f>'Maturity Rating'!$A$2:$A$5</xm:f>
          </x14:formula1>
          <xm:sqref>G4:G34</xm:sqref>
        </x14:dataValidation>
        <x14:dataValidation type="list" allowBlank="1" showInputMessage="1" showErrorMessage="1" xr:uid="{00000000-0002-0000-1400-000001000000}">
          <x14:formula1>
            <xm:f>'Maturity Rating'!$A$14:$A$17</xm:f>
          </x14:formula1>
          <xm:sqref>I4:I34</xm:sqref>
        </x14:dataValidation>
        <x14:dataValidation type="list" allowBlank="1" showInputMessage="1" showErrorMessage="1" xr:uid="{00000000-0002-0000-1400-000002000000}">
          <x14:formula1>
            <xm:f>'Maturity Rating'!$A$20:$A$23</xm:f>
          </x14:formula1>
          <xm:sqref>J4:J34</xm:sqref>
        </x14:dataValidation>
        <x14:dataValidation type="list" allowBlank="1" showInputMessage="1" showErrorMessage="1" xr:uid="{00000000-0002-0000-1400-000003000000}">
          <x14:formula1>
            <xm:f>'Maturity Rating'!$A$8:$A$11</xm:f>
          </x14:formula1>
          <xm:sqref>H4:H34</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2"/>
  </sheetPr>
  <dimension ref="A1:Y30"/>
  <sheetViews>
    <sheetView showGridLines="0" topLeftCell="D30" zoomScale="59" zoomScaleNormal="85" workbookViewId="0"/>
  </sheetViews>
  <sheetFormatPr defaultColWidth="9.08984375" defaultRowHeight="14.5"/>
  <cols>
    <col min="1" max="1" width="8.54296875" style="22" customWidth="1"/>
    <col min="2" max="2" width="23.08984375" style="24" customWidth="1"/>
    <col min="3" max="3" width="34.90625" style="25" customWidth="1"/>
    <col min="4" max="4" width="25" style="25" customWidth="1"/>
    <col min="5" max="5" width="79.1796875" style="24" customWidth="1"/>
    <col min="6" max="6" width="31.36328125" style="62" customWidth="1"/>
    <col min="7" max="8" width="20.6328125" style="62" customWidth="1"/>
    <col min="9" max="9" width="20.90625" style="62" bestFit="1" customWidth="1"/>
    <col min="10" max="10" width="20.6328125" style="62" customWidth="1"/>
    <col min="11" max="11" width="13.6328125" style="24" bestFit="1" customWidth="1"/>
    <col min="12" max="12" width="26.36328125" style="24" customWidth="1"/>
    <col min="13" max="13" width="18.81640625" style="24" customWidth="1"/>
    <col min="14" max="14" width="20.90625" style="24" customWidth="1"/>
    <col min="15" max="15" width="13.6328125" style="24" customWidth="1"/>
    <col min="16" max="16" width="3.36328125" customWidth="1"/>
    <col min="17" max="17" width="3.90625" hidden="1" customWidth="1"/>
    <col min="18" max="18" width="5" hidden="1" customWidth="1"/>
    <col min="19" max="19" width="6.453125" style="189" hidden="1" customWidth="1"/>
    <col min="20" max="20" width="6.6328125" style="189" hidden="1" customWidth="1"/>
    <col min="21" max="21" width="9.54296875" style="189" hidden="1" customWidth="1"/>
    <col min="22" max="22" width="16.6328125" style="189" hidden="1" customWidth="1"/>
    <col min="23" max="23" width="6.90625" hidden="1" customWidth="1"/>
    <col min="24" max="24" width="8.90625" hidden="1" customWidth="1"/>
    <col min="26" max="16384" width="9.08984375" style="24"/>
  </cols>
  <sheetData>
    <row r="1" spans="1:25" ht="22.5" customHeight="1" thickBot="1">
      <c r="C1" s="353" t="s">
        <v>66</v>
      </c>
      <c r="D1" s="354"/>
      <c r="E1" s="45" t="str">
        <f>IF(F1="NA","Not Applicable",VLOOKUP(T1,'Maturity Rating'!G4:H8,2,FALSE))</f>
        <v>Defined</v>
      </c>
      <c r="F1" s="46">
        <f>IF(U1="NANANA","NA",AVERAGE(N4:N30))</f>
        <v>3.9316520467836256</v>
      </c>
      <c r="G1" s="22"/>
      <c r="I1" s="86"/>
      <c r="J1" s="83"/>
      <c r="K1" s="84"/>
      <c r="Q1" s="224"/>
      <c r="S1"/>
      <c r="T1" s="230">
        <f>ROUNDDOWN(F1,0)</f>
        <v>3</v>
      </c>
      <c r="U1" t="str">
        <f>CONCATENATE(N4,N7,N26,29)</f>
        <v>4.222222222222223.448830409356724.2222222222222229</v>
      </c>
      <c r="V1"/>
    </row>
    <row r="2" spans="1:25" ht="15" thickBot="1"/>
    <row r="3" spans="1:25" s="22" customFormat="1" ht="30.75" customHeight="1" thickBot="1">
      <c r="A3" s="88" t="s">
        <v>2</v>
      </c>
      <c r="B3" s="81" t="s">
        <v>67</v>
      </c>
      <c r="C3" s="81" t="s">
        <v>68</v>
      </c>
      <c r="D3" s="81" t="s">
        <v>69</v>
      </c>
      <c r="E3" s="81" t="s">
        <v>70</v>
      </c>
      <c r="F3" s="81" t="s">
        <v>71</v>
      </c>
      <c r="G3" s="81" t="s">
        <v>72</v>
      </c>
      <c r="H3" s="81" t="s">
        <v>73</v>
      </c>
      <c r="I3" s="81" t="s">
        <v>74</v>
      </c>
      <c r="J3" s="81" t="s">
        <v>75</v>
      </c>
      <c r="K3" s="81" t="s">
        <v>76</v>
      </c>
      <c r="L3" s="81" t="s">
        <v>77</v>
      </c>
      <c r="M3" s="81" t="s">
        <v>78</v>
      </c>
      <c r="N3" s="81" t="s">
        <v>79</v>
      </c>
      <c r="O3" s="89" t="s">
        <v>80</v>
      </c>
      <c r="P3"/>
      <c r="Q3"/>
      <c r="R3"/>
      <c r="S3" s="227" t="s">
        <v>81</v>
      </c>
      <c r="T3" s="227" t="s">
        <v>82</v>
      </c>
      <c r="U3" s="227" t="s">
        <v>83</v>
      </c>
      <c r="V3" s="227" t="s">
        <v>84</v>
      </c>
      <c r="W3" s="228"/>
      <c r="X3" s="228"/>
      <c r="Y3" s="228"/>
    </row>
    <row r="4" spans="1:25" ht="29">
      <c r="A4" s="4">
        <v>18.100000000000001</v>
      </c>
      <c r="B4" s="359" t="s">
        <v>85</v>
      </c>
      <c r="C4" s="368" t="s">
        <v>699</v>
      </c>
      <c r="D4" s="256" t="s">
        <v>87</v>
      </c>
      <c r="E4" s="51" t="s">
        <v>700</v>
      </c>
      <c r="F4" s="256" t="s">
        <v>89</v>
      </c>
      <c r="G4" s="263" t="s">
        <v>118</v>
      </c>
      <c r="H4" s="263" t="s">
        <v>100</v>
      </c>
      <c r="I4" s="263" t="s">
        <v>120</v>
      </c>
      <c r="J4" s="257" t="s">
        <v>129</v>
      </c>
      <c r="K4" s="271">
        <f>IF(W4="NANANANA",S4,IF(AND(OR(G4="Formally Documented",G4="Informally Documented"),H4="Not Implemented"),0.5*AVERAGE(S4:V4),AVERAGE(S4:V4)))</f>
        <v>3</v>
      </c>
      <c r="L4" s="271">
        <f>IF(AND(D4="K",K4=1),'Maturity Rating'!$E$8,IF(K4="NA",K4,IF(D4="K",K4*'Maturity Rating'!$E$7,K4)))</f>
        <v>3.5999999999999996</v>
      </c>
      <c r="M4" s="338">
        <f>IF(X4="NANANA",K4,AVERAGE(L4:L6))</f>
        <v>2.5333333333333332</v>
      </c>
      <c r="N4" s="339">
        <f>IF(M4&lt;1.1,1,IF(M4="NA",M4,(MIN(5,M4/3*5))))</f>
        <v>4.2222222222222223</v>
      </c>
      <c r="O4" s="351" t="str">
        <f>IF(N4="NA",N4,VLOOKUP(Q4,'Maturity Rating'!G4:H8,2,FALSE))</f>
        <v>Repeatable</v>
      </c>
      <c r="P4" s="27"/>
      <c r="Q4" s="229">
        <f>IF(N4="NA",N4,ROUNDDOWN(N4,0))</f>
        <v>4</v>
      </c>
      <c r="S4" s="114">
        <f>VLOOKUP(G4,'Maturity Rating'!A$2:B$5,2,FALSE)</f>
        <v>3</v>
      </c>
      <c r="T4" s="114">
        <f>VLOOKUP(H4,'Maturity Rating'!A$8:B$11,2,FALSE)</f>
        <v>3</v>
      </c>
      <c r="U4" s="114">
        <f>VLOOKUP(I4,'Maturity Rating'!A$14:B$17,2,FALSE)</f>
        <v>3</v>
      </c>
      <c r="V4" s="114">
        <f>VLOOKUP(J4,'Maturity Rating'!A$20:B$23,2,FALSE)</f>
        <v>3</v>
      </c>
      <c r="W4" t="str">
        <f>CONCATENATE(S4,T4,U4,V4)</f>
        <v>3333</v>
      </c>
      <c r="X4" t="str">
        <f>CONCATENATE(L4,L5,L6)</f>
        <v>3.631</v>
      </c>
    </row>
    <row r="5" spans="1:25" ht="29">
      <c r="A5" s="3">
        <v>18.2</v>
      </c>
      <c r="B5" s="345"/>
      <c r="C5" s="365"/>
      <c r="D5" s="257"/>
      <c r="E5" s="266" t="s">
        <v>524</v>
      </c>
      <c r="F5" s="257" t="s">
        <v>89</v>
      </c>
      <c r="G5" s="257" t="s">
        <v>118</v>
      </c>
      <c r="H5" s="263" t="s">
        <v>100</v>
      </c>
      <c r="I5" s="263" t="s">
        <v>120</v>
      </c>
      <c r="J5" s="257" t="s">
        <v>129</v>
      </c>
      <c r="K5" s="271">
        <f t="shared" ref="K5:K28" si="0">IF(W5="NANANANA",S5,IF(AND(OR(G5="Formally Documented",G5="Informally Documented"),H5="Not Implemented"),0.5*AVERAGE(S5:V5),AVERAGE(S5:V5)))</f>
        <v>3</v>
      </c>
      <c r="L5" s="271">
        <f>IF(AND(D5="K",K5=1),'Maturity Rating'!$E$8,IF(K5="NA",K5,IF(D5="K",K5*'Maturity Rating'!$E$7,K5)))</f>
        <v>3</v>
      </c>
      <c r="M5" s="339"/>
      <c r="N5" s="339"/>
      <c r="O5" s="342"/>
      <c r="P5" s="27"/>
      <c r="Q5" s="229"/>
      <c r="S5" s="114">
        <f>VLOOKUP(G5,'Maturity Rating'!A$2:B$5,2,FALSE)</f>
        <v>3</v>
      </c>
      <c r="T5" s="114">
        <f>VLOOKUP(H5,'Maturity Rating'!A$8:B$11,2,FALSE)</f>
        <v>3</v>
      </c>
      <c r="U5" s="114">
        <f>VLOOKUP(I5,'Maturity Rating'!A$14:B$17,2,FALSE)</f>
        <v>3</v>
      </c>
      <c r="V5" s="114">
        <f>VLOOKUP(J5,'Maturity Rating'!A$20:B$23,2,FALSE)</f>
        <v>3</v>
      </c>
      <c r="W5" t="str">
        <f t="shared" ref="W5:W28" si="1">CONCATENATE(S5,T5,U5,V5)</f>
        <v>3333</v>
      </c>
    </row>
    <row r="6" spans="1:25" ht="51" customHeight="1" thickBot="1">
      <c r="A6" s="2">
        <v>18.3</v>
      </c>
      <c r="B6" s="347"/>
      <c r="C6" s="367"/>
      <c r="D6" s="259"/>
      <c r="E6" s="268" t="s">
        <v>94</v>
      </c>
      <c r="F6" s="259" t="s">
        <v>89</v>
      </c>
      <c r="G6" s="259" t="s">
        <v>127</v>
      </c>
      <c r="H6" s="259" t="s">
        <v>95</v>
      </c>
      <c r="I6" s="259" t="s">
        <v>91</v>
      </c>
      <c r="J6" s="259" t="s">
        <v>91</v>
      </c>
      <c r="K6" s="272">
        <f t="shared" si="0"/>
        <v>1</v>
      </c>
      <c r="L6" s="272">
        <f>IF(AND(D6="K",K6=1),'Maturity Rating'!$E$8,IF(K6="NA",K6,IF(D6="K",K6*'Maturity Rating'!$E$7,K6)))</f>
        <v>1</v>
      </c>
      <c r="M6" s="339"/>
      <c r="N6" s="339"/>
      <c r="O6" s="342"/>
      <c r="P6" s="27"/>
      <c r="Q6" s="229"/>
      <c r="S6" s="114">
        <f>VLOOKUP(G6,'Maturity Rating'!A$2:B$5,2,FALSE)</f>
        <v>1</v>
      </c>
      <c r="T6" s="114">
        <f>VLOOKUP(H6,'Maturity Rating'!A$8:B$11,2,FALSE)</f>
        <v>1</v>
      </c>
      <c r="U6" s="114" t="str">
        <f>VLOOKUP(I6,'Maturity Rating'!A$14:B$17,2,FALSE)</f>
        <v>NA</v>
      </c>
      <c r="V6" s="114" t="str">
        <f>VLOOKUP(J6,'Maturity Rating'!A$20:B$23,2,FALSE)</f>
        <v>NA</v>
      </c>
      <c r="W6" t="str">
        <f t="shared" si="1"/>
        <v>11NANA</v>
      </c>
    </row>
    <row r="7" spans="1:25" ht="67.5" customHeight="1">
      <c r="A7" s="107">
        <v>18.399999999999999</v>
      </c>
      <c r="B7" s="355" t="s">
        <v>701</v>
      </c>
      <c r="C7" s="357" t="s">
        <v>702</v>
      </c>
      <c r="D7" s="256" t="s">
        <v>87</v>
      </c>
      <c r="E7" s="51" t="s">
        <v>703</v>
      </c>
      <c r="F7" s="256" t="s">
        <v>89</v>
      </c>
      <c r="G7" s="263" t="s">
        <v>118</v>
      </c>
      <c r="H7" s="263" t="s">
        <v>100</v>
      </c>
      <c r="I7" s="263" t="s">
        <v>120</v>
      </c>
      <c r="J7" s="87" t="s">
        <v>129</v>
      </c>
      <c r="K7" s="271">
        <f t="shared" si="0"/>
        <v>3</v>
      </c>
      <c r="L7" s="271">
        <f>IF(AND(D7="K",K7=1),'Maturity Rating'!$E$8,IF(K7="NA",K7,IF(D7="K",K7*'Maturity Rating'!$E$7,K7)))</f>
        <v>3.5999999999999996</v>
      </c>
      <c r="M7" s="338">
        <f>IF(X7="NANANANANANANANANANANANA",K7,AVERAGE(L7:L25))</f>
        <v>2.0692982456140347</v>
      </c>
      <c r="N7" s="338">
        <f>IF(M7&lt;1.1,1,IF(M7="NA",M7,(MIN(5,M7/3*5))))</f>
        <v>3.4488304093567246</v>
      </c>
      <c r="O7" s="341" t="str">
        <f>IF(N7="NA",N7,VLOOKUP(Q7,'Maturity Rating'!G4:H8,2,FALSE))</f>
        <v>Defined</v>
      </c>
      <c r="P7" s="27"/>
      <c r="Q7" s="229">
        <f>IF(N7="NA",N7,ROUNDDOWN(N7,0))</f>
        <v>3</v>
      </c>
      <c r="S7" s="114">
        <f>VLOOKUP(G7,'Maturity Rating'!A$2:B$5,2,FALSE)</f>
        <v>3</v>
      </c>
      <c r="T7" s="114">
        <f>VLOOKUP(H7,'Maturity Rating'!A$8:B$11,2,FALSE)</f>
        <v>3</v>
      </c>
      <c r="U7" s="114">
        <f>VLOOKUP(I7,'Maturity Rating'!A$14:B$17,2,FALSE)</f>
        <v>3</v>
      </c>
      <c r="V7" s="114">
        <f>VLOOKUP(J7,'Maturity Rating'!A$20:B$23,2,FALSE)</f>
        <v>3</v>
      </c>
      <c r="W7" t="str">
        <f t="shared" si="1"/>
        <v>3333</v>
      </c>
      <c r="X7" t="str">
        <f>CONCATENATE(L7,L8,L9,L10,L11,L12,L13,L14,L15,L16,L17,L18,L19,L20,L21,L22,L23,L24,L25)</f>
        <v>3.633.3133132.753111112.66666666666667113</v>
      </c>
    </row>
    <row r="8" spans="1:25" ht="29">
      <c r="A8" s="3">
        <v>18.5</v>
      </c>
      <c r="B8" s="356"/>
      <c r="C8" s="358"/>
      <c r="D8" s="257"/>
      <c r="E8" s="266" t="s">
        <v>704</v>
      </c>
      <c r="F8" s="257" t="s">
        <v>89</v>
      </c>
      <c r="G8" s="263" t="s">
        <v>118</v>
      </c>
      <c r="H8" s="263" t="s">
        <v>100</v>
      </c>
      <c r="I8" s="263" t="s">
        <v>120</v>
      </c>
      <c r="J8" s="87" t="s">
        <v>129</v>
      </c>
      <c r="K8" s="271">
        <f t="shared" si="0"/>
        <v>3</v>
      </c>
      <c r="L8" s="273">
        <f>IF(AND(D8="K",K8=1),'Maturity Rating'!$E$8,IF(K8="NA",K8,IF(D8="K",K8*'Maturity Rating'!$E$7,K8)))</f>
        <v>3</v>
      </c>
      <c r="M8" s="339"/>
      <c r="N8" s="339"/>
      <c r="O8" s="342"/>
      <c r="P8" s="27"/>
      <c r="Q8" s="27"/>
      <c r="S8" s="114">
        <f>VLOOKUP(G8,'Maturity Rating'!A$2:B$5,2,FALSE)</f>
        <v>3</v>
      </c>
      <c r="T8" s="114">
        <f>VLOOKUP(H8,'Maturity Rating'!A$8:B$11,2,FALSE)</f>
        <v>3</v>
      </c>
      <c r="U8" s="114">
        <f>VLOOKUP(I8,'Maturity Rating'!A$14:B$17,2,FALSE)</f>
        <v>3</v>
      </c>
      <c r="V8" s="114">
        <f>VLOOKUP(J8,'Maturity Rating'!A$20:B$23,2,FALSE)</f>
        <v>3</v>
      </c>
      <c r="W8" t="str">
        <f t="shared" si="1"/>
        <v>3333</v>
      </c>
    </row>
    <row r="9" spans="1:25" ht="29">
      <c r="A9" s="3">
        <v>18.600000000000001</v>
      </c>
      <c r="B9" s="356"/>
      <c r="C9" s="358"/>
      <c r="D9" s="257" t="s">
        <v>87</v>
      </c>
      <c r="E9" s="52" t="s">
        <v>705</v>
      </c>
      <c r="F9" s="257" t="s">
        <v>89</v>
      </c>
      <c r="G9" s="263" t="s">
        <v>118</v>
      </c>
      <c r="H9" s="263" t="s">
        <v>125</v>
      </c>
      <c r="I9" s="263" t="s">
        <v>120</v>
      </c>
      <c r="J9" s="87" t="s">
        <v>129</v>
      </c>
      <c r="K9" s="271">
        <f t="shared" si="0"/>
        <v>2.75</v>
      </c>
      <c r="L9" s="273">
        <f>IF(AND(D9="K",K9=1),'Maturity Rating'!$E$8,IF(K9="NA",K9,IF(D9="K",K9*'Maturity Rating'!$E$7,K9)))</f>
        <v>3.3</v>
      </c>
      <c r="M9" s="339"/>
      <c r="N9" s="339"/>
      <c r="O9" s="342"/>
      <c r="P9" s="27"/>
      <c r="Q9" s="27"/>
      <c r="S9" s="114">
        <f>VLOOKUP(G9,'Maturity Rating'!A$2:B$5,2,FALSE)</f>
        <v>3</v>
      </c>
      <c r="T9" s="114">
        <f>VLOOKUP(H9,'Maturity Rating'!A$8:B$11,2,FALSE)</f>
        <v>2</v>
      </c>
      <c r="U9" s="114">
        <f>VLOOKUP(I9,'Maturity Rating'!A$14:B$17,2,FALSE)</f>
        <v>3</v>
      </c>
      <c r="V9" s="114">
        <f>VLOOKUP(J9,'Maturity Rating'!A$20:B$23,2,FALSE)</f>
        <v>3</v>
      </c>
      <c r="W9" t="str">
        <f t="shared" si="1"/>
        <v>3233</v>
      </c>
    </row>
    <row r="10" spans="1:25" ht="29">
      <c r="A10" s="3">
        <v>18.7</v>
      </c>
      <c r="B10" s="356"/>
      <c r="C10" s="358"/>
      <c r="D10" s="257"/>
      <c r="E10" s="1" t="s">
        <v>706</v>
      </c>
      <c r="F10" s="257" t="s">
        <v>89</v>
      </c>
      <c r="G10" s="263" t="s">
        <v>127</v>
      </c>
      <c r="H10" s="263" t="s">
        <v>95</v>
      </c>
      <c r="I10" s="263" t="s">
        <v>206</v>
      </c>
      <c r="J10" s="87" t="s">
        <v>102</v>
      </c>
      <c r="K10" s="271">
        <f t="shared" ref="K10" si="2">IF(W10="NANANANA",S10,IF(AND(OR(G10="Formally Documented",G10="Informally Documented"),H10="Not Implemented"),0.5*AVERAGE(S10:V10),AVERAGE(S10:V10)))</f>
        <v>1</v>
      </c>
      <c r="L10" s="273">
        <f>IF(AND(D10="K",K10=1),'Maturity Rating'!$E$8,IF(K10="NA",K10,IF(D10="K",K10*'Maturity Rating'!$E$7,K10)))</f>
        <v>1</v>
      </c>
      <c r="M10" s="339"/>
      <c r="N10" s="339"/>
      <c r="O10" s="342"/>
      <c r="P10" s="27"/>
      <c r="Q10" s="27"/>
      <c r="S10" s="114">
        <f>VLOOKUP(G10,'Maturity Rating'!A$2:B$5,2,FALSE)</f>
        <v>1</v>
      </c>
      <c r="T10" s="114">
        <f>VLOOKUP(H10,'Maturity Rating'!A$8:B$11,2,FALSE)</f>
        <v>1</v>
      </c>
      <c r="U10" s="114">
        <f>VLOOKUP(I10,'Maturity Rating'!A$14:B$17,2,FALSE)</f>
        <v>1</v>
      </c>
      <c r="V10" s="114">
        <f>VLOOKUP(J10,'Maturity Rating'!A$20:B$23,2,FALSE)</f>
        <v>1</v>
      </c>
      <c r="W10" t="str">
        <f t="shared" ref="W10" si="3">CONCATENATE(S10,T10,U10,V10)</f>
        <v>1111</v>
      </c>
    </row>
    <row r="11" spans="1:25" ht="43.5">
      <c r="A11" s="3">
        <v>18.8</v>
      </c>
      <c r="B11" s="356"/>
      <c r="C11" s="358"/>
      <c r="D11" s="257"/>
      <c r="E11" s="266" t="s">
        <v>707</v>
      </c>
      <c r="F11" s="55" t="s">
        <v>89</v>
      </c>
      <c r="G11" s="263" t="s">
        <v>118</v>
      </c>
      <c r="H11" s="263" t="s">
        <v>100</v>
      </c>
      <c r="I11" s="263" t="s">
        <v>120</v>
      </c>
      <c r="J11" s="87" t="s">
        <v>129</v>
      </c>
      <c r="K11" s="271">
        <f t="shared" si="0"/>
        <v>3</v>
      </c>
      <c r="L11" s="273">
        <f>IF(AND(D11="K",K11=1),'Maturity Rating'!$E$8,IF(K11="NA",K11,IF(D11="K",K11*'Maturity Rating'!$E$7,K11)))</f>
        <v>3</v>
      </c>
      <c r="M11" s="339"/>
      <c r="N11" s="339"/>
      <c r="O11" s="342"/>
      <c r="P11" s="27"/>
      <c r="Q11" s="27"/>
      <c r="S11" s="114">
        <f>VLOOKUP(G11,'Maturity Rating'!A$2:B$5,2,FALSE)</f>
        <v>3</v>
      </c>
      <c r="T11" s="114">
        <f>VLOOKUP(H11,'Maturity Rating'!A$8:B$11,2,FALSE)</f>
        <v>3</v>
      </c>
      <c r="U11" s="114">
        <f>VLOOKUP(I11,'Maturity Rating'!A$14:B$17,2,FALSE)</f>
        <v>3</v>
      </c>
      <c r="V11" s="114">
        <f>VLOOKUP(J11,'Maturity Rating'!A$20:B$23,2,FALSE)</f>
        <v>3</v>
      </c>
      <c r="W11" t="str">
        <f t="shared" si="1"/>
        <v>3333</v>
      </c>
    </row>
    <row r="12" spans="1:25" ht="29">
      <c r="A12" s="3">
        <v>18.899999999999999</v>
      </c>
      <c r="B12" s="356"/>
      <c r="C12" s="358"/>
      <c r="D12" s="257"/>
      <c r="E12" s="266" t="s">
        <v>708</v>
      </c>
      <c r="F12" s="55" t="s">
        <v>89</v>
      </c>
      <c r="G12" s="263" t="s">
        <v>118</v>
      </c>
      <c r="H12" s="263" t="s">
        <v>100</v>
      </c>
      <c r="I12" s="263" t="s">
        <v>120</v>
      </c>
      <c r="J12" s="87" t="s">
        <v>129</v>
      </c>
      <c r="K12" s="271">
        <f t="shared" si="0"/>
        <v>3</v>
      </c>
      <c r="L12" s="273">
        <f>IF(AND(D12="K",K12=1),'Maturity Rating'!$E$8,IF(K12="NA",K12,IF(D12="K",K12*'Maturity Rating'!$E$7,K12)))</f>
        <v>3</v>
      </c>
      <c r="M12" s="339"/>
      <c r="N12" s="339"/>
      <c r="O12" s="342"/>
      <c r="P12" s="27"/>
      <c r="Q12" s="27"/>
      <c r="S12" s="114">
        <f>VLOOKUP(G12,'Maturity Rating'!A$2:B$5,2,FALSE)</f>
        <v>3</v>
      </c>
      <c r="T12" s="114">
        <f>VLOOKUP(H12,'Maturity Rating'!A$8:B$11,2,FALSE)</f>
        <v>3</v>
      </c>
      <c r="U12" s="114">
        <f>VLOOKUP(I12,'Maturity Rating'!A$14:B$17,2,FALSE)</f>
        <v>3</v>
      </c>
      <c r="V12" s="114">
        <f>VLOOKUP(J12,'Maturity Rating'!A$20:B$23,2,FALSE)</f>
        <v>3</v>
      </c>
      <c r="W12" t="str">
        <f t="shared" si="1"/>
        <v>3333</v>
      </c>
    </row>
    <row r="13" spans="1:25" ht="29">
      <c r="A13" s="3" t="s">
        <v>709</v>
      </c>
      <c r="B13" s="356"/>
      <c r="C13" s="358"/>
      <c r="D13" s="257"/>
      <c r="E13" s="1" t="s">
        <v>710</v>
      </c>
      <c r="F13" s="55" t="s">
        <v>89</v>
      </c>
      <c r="G13" s="263" t="s">
        <v>127</v>
      </c>
      <c r="H13" s="263" t="s">
        <v>95</v>
      </c>
      <c r="I13" s="263" t="s">
        <v>91</v>
      </c>
      <c r="J13" s="87" t="s">
        <v>102</v>
      </c>
      <c r="K13" s="271">
        <f t="shared" si="0"/>
        <v>1</v>
      </c>
      <c r="L13" s="273">
        <f>IF(AND(D13="K",K13=1),'Maturity Rating'!$E$8,IF(K13="NA",K13,IF(D13="K",K13*'Maturity Rating'!$E$7,K13)))</f>
        <v>1</v>
      </c>
      <c r="M13" s="339"/>
      <c r="N13" s="339"/>
      <c r="O13" s="342"/>
      <c r="P13" s="27"/>
      <c r="Q13" s="27"/>
      <c r="S13" s="114">
        <f>VLOOKUP(G13,'Maturity Rating'!A$2:B$5,2,FALSE)</f>
        <v>1</v>
      </c>
      <c r="T13" s="114">
        <f>VLOOKUP(H13,'Maturity Rating'!A$8:B$11,2,FALSE)</f>
        <v>1</v>
      </c>
      <c r="U13" s="114" t="str">
        <f>VLOOKUP(I13,'Maturity Rating'!A$14:B$17,2,FALSE)</f>
        <v>NA</v>
      </c>
      <c r="V13" s="114">
        <f>VLOOKUP(J13,'Maturity Rating'!A$20:B$23,2,FALSE)</f>
        <v>1</v>
      </c>
      <c r="W13" t="str">
        <f t="shared" si="1"/>
        <v>11NA1</v>
      </c>
    </row>
    <row r="14" spans="1:25" ht="29">
      <c r="A14" s="3">
        <v>18.11</v>
      </c>
      <c r="B14" s="356"/>
      <c r="C14" s="358"/>
      <c r="D14" s="257"/>
      <c r="E14" s="266" t="s">
        <v>711</v>
      </c>
      <c r="F14" s="55" t="s">
        <v>89</v>
      </c>
      <c r="G14" s="263" t="s">
        <v>118</v>
      </c>
      <c r="H14" s="263" t="s">
        <v>100</v>
      </c>
      <c r="I14" s="263" t="s">
        <v>120</v>
      </c>
      <c r="J14" s="87" t="s">
        <v>129</v>
      </c>
      <c r="K14" s="271">
        <f t="shared" si="0"/>
        <v>3</v>
      </c>
      <c r="L14" s="273">
        <f>IF(AND(D14="K",K14=1),'Maturity Rating'!$E$8,IF(K14="NA",K14,IF(D14="K",K14*'Maturity Rating'!$E$7,K14)))</f>
        <v>3</v>
      </c>
      <c r="M14" s="339"/>
      <c r="N14" s="339"/>
      <c r="O14" s="342"/>
      <c r="P14" s="27"/>
      <c r="Q14" s="27"/>
      <c r="S14" s="114">
        <f>VLOOKUP(G14,'Maturity Rating'!A$2:B$5,2,FALSE)</f>
        <v>3</v>
      </c>
      <c r="T14" s="114">
        <f>VLOOKUP(H14,'Maturity Rating'!A$8:B$11,2,FALSE)</f>
        <v>3</v>
      </c>
      <c r="U14" s="114">
        <f>VLOOKUP(I14,'Maturity Rating'!A$14:B$17,2,FALSE)</f>
        <v>3</v>
      </c>
      <c r="V14" s="114">
        <f>VLOOKUP(J14,'Maturity Rating'!A$20:B$23,2,FALSE)</f>
        <v>3</v>
      </c>
      <c r="W14" t="str">
        <f t="shared" si="1"/>
        <v>3333</v>
      </c>
    </row>
    <row r="15" spans="1:25" ht="72.5">
      <c r="A15" s="3">
        <v>18.12</v>
      </c>
      <c r="B15" s="356"/>
      <c r="C15" s="358"/>
      <c r="D15" s="257"/>
      <c r="E15" s="266" t="s">
        <v>712</v>
      </c>
      <c r="F15" s="55" t="s">
        <v>89</v>
      </c>
      <c r="G15" s="263" t="s">
        <v>118</v>
      </c>
      <c r="H15" s="263" t="s">
        <v>125</v>
      </c>
      <c r="I15" s="263" t="s">
        <v>120</v>
      </c>
      <c r="J15" s="87" t="s">
        <v>129</v>
      </c>
      <c r="K15" s="271">
        <f t="shared" si="0"/>
        <v>2.75</v>
      </c>
      <c r="L15" s="273">
        <f>IF(AND(D15="K",K15=1),'Maturity Rating'!$E$8,IF(K15="NA",K15,IF(D15="K",K15*'Maturity Rating'!$E$7,K15)))</f>
        <v>2.75</v>
      </c>
      <c r="M15" s="339"/>
      <c r="N15" s="339"/>
      <c r="O15" s="342"/>
      <c r="P15" s="27"/>
      <c r="Q15" s="27"/>
      <c r="S15" s="114">
        <f>VLOOKUP(G15,'Maturity Rating'!A$2:B$5,2,FALSE)</f>
        <v>3</v>
      </c>
      <c r="T15" s="114">
        <f>VLOOKUP(H15,'Maturity Rating'!A$8:B$11,2,FALSE)</f>
        <v>2</v>
      </c>
      <c r="U15" s="114">
        <f>VLOOKUP(I15,'Maturity Rating'!A$14:B$17,2,FALSE)</f>
        <v>3</v>
      </c>
      <c r="V15" s="114">
        <f>VLOOKUP(J15,'Maturity Rating'!A$20:B$23,2,FALSE)</f>
        <v>3</v>
      </c>
      <c r="W15" t="str">
        <f t="shared" si="1"/>
        <v>3233</v>
      </c>
    </row>
    <row r="16" spans="1:25" ht="43.5">
      <c r="A16" s="3">
        <v>18.13</v>
      </c>
      <c r="B16" s="356"/>
      <c r="C16" s="358"/>
      <c r="D16" s="257"/>
      <c r="E16" s="266" t="s">
        <v>713</v>
      </c>
      <c r="F16" s="55" t="s">
        <v>89</v>
      </c>
      <c r="G16" s="263" t="s">
        <v>118</v>
      </c>
      <c r="H16" s="263" t="s">
        <v>100</v>
      </c>
      <c r="I16" s="263" t="s">
        <v>120</v>
      </c>
      <c r="J16" s="87" t="s">
        <v>129</v>
      </c>
      <c r="K16" s="271">
        <f t="shared" si="0"/>
        <v>3</v>
      </c>
      <c r="L16" s="273">
        <f>IF(AND(D16="K",K16=1),'Maturity Rating'!$E$8,IF(K16="NA",K16,IF(D16="K",K16*'Maturity Rating'!$E$7,K16)))</f>
        <v>3</v>
      </c>
      <c r="M16" s="339"/>
      <c r="N16" s="339"/>
      <c r="O16" s="342"/>
      <c r="P16" s="27"/>
      <c r="Q16" s="27"/>
      <c r="S16" s="114">
        <f>VLOOKUP(G16,'Maturity Rating'!A$2:B$5,2,FALSE)</f>
        <v>3</v>
      </c>
      <c r="T16" s="114">
        <f>VLOOKUP(H16,'Maturity Rating'!A$8:B$11,2,FALSE)</f>
        <v>3</v>
      </c>
      <c r="U16" s="114">
        <f>VLOOKUP(I16,'Maturity Rating'!A$14:B$17,2,FALSE)</f>
        <v>3</v>
      </c>
      <c r="V16" s="114">
        <f>VLOOKUP(J16,'Maturity Rating'!A$20:B$23,2,FALSE)</f>
        <v>3</v>
      </c>
      <c r="W16" t="str">
        <f t="shared" si="1"/>
        <v>3333</v>
      </c>
    </row>
    <row r="17" spans="1:24" ht="29">
      <c r="A17" s="3">
        <v>18.14</v>
      </c>
      <c r="B17" s="356"/>
      <c r="C17" s="358"/>
      <c r="D17" s="257"/>
      <c r="E17" s="1" t="s">
        <v>714</v>
      </c>
      <c r="F17" s="55" t="s">
        <v>89</v>
      </c>
      <c r="G17" s="263" t="s">
        <v>127</v>
      </c>
      <c r="H17" s="263" t="s">
        <v>95</v>
      </c>
      <c r="I17" s="263" t="s">
        <v>91</v>
      </c>
      <c r="J17" s="87" t="s">
        <v>102</v>
      </c>
      <c r="K17" s="271">
        <f t="shared" si="0"/>
        <v>1</v>
      </c>
      <c r="L17" s="273">
        <f>IF(AND(D17="K",K17=1),'Maturity Rating'!$E$8,IF(K17="NA",K17,IF(D17="K",K17*'Maturity Rating'!$E$7,K17)))</f>
        <v>1</v>
      </c>
      <c r="M17" s="339"/>
      <c r="N17" s="339"/>
      <c r="O17" s="342"/>
      <c r="P17" s="27"/>
      <c r="Q17" s="27"/>
      <c r="S17" s="114">
        <f>VLOOKUP(G17,'Maturity Rating'!A$2:B$5,2,FALSE)</f>
        <v>1</v>
      </c>
      <c r="T17" s="114">
        <f>VLOOKUP(H17,'Maturity Rating'!A$8:B$11,2,FALSE)</f>
        <v>1</v>
      </c>
      <c r="U17" s="114" t="str">
        <f>VLOOKUP(I17,'Maturity Rating'!A$14:B$17,2,FALSE)</f>
        <v>NA</v>
      </c>
      <c r="V17" s="114">
        <f>VLOOKUP(J17,'Maturity Rating'!A$20:B$23,2,FALSE)</f>
        <v>1</v>
      </c>
      <c r="W17" t="str">
        <f t="shared" si="1"/>
        <v>11NA1</v>
      </c>
    </row>
    <row r="18" spans="1:24" ht="43.5">
      <c r="A18" s="111">
        <v>18.149999999999999</v>
      </c>
      <c r="B18" s="356"/>
      <c r="C18" s="358"/>
      <c r="D18" s="258"/>
      <c r="E18" s="306" t="s">
        <v>715</v>
      </c>
      <c r="F18" s="112" t="s">
        <v>89</v>
      </c>
      <c r="G18" s="263" t="s">
        <v>127</v>
      </c>
      <c r="H18" s="263" t="s">
        <v>95</v>
      </c>
      <c r="I18" s="263" t="s">
        <v>91</v>
      </c>
      <c r="J18" s="87" t="s">
        <v>102</v>
      </c>
      <c r="K18" s="271">
        <f t="shared" ref="K18:K24" si="4">IF(W18="NANANANA",S18,IF(AND(OR(G18="Formally Documented",G18="Informally Documented"),H18="Not Implemented"),0.5*AVERAGE(S18:V18),AVERAGE(S18:V18)))</f>
        <v>1</v>
      </c>
      <c r="L18" s="273">
        <f>IF(AND(D18="K",K18=1),'Maturity Rating'!$E$8,IF(K18="NA",K18,IF(D18="K",K18*'Maturity Rating'!$E$7,K18)))</f>
        <v>1</v>
      </c>
      <c r="M18" s="339"/>
      <c r="N18" s="339"/>
      <c r="O18" s="352"/>
      <c r="P18" s="27"/>
      <c r="Q18" s="27"/>
      <c r="S18" s="114">
        <f>VLOOKUP(G18,'Maturity Rating'!A$2:B$5,2,FALSE)</f>
        <v>1</v>
      </c>
      <c r="T18" s="114">
        <f>VLOOKUP(H18,'Maturity Rating'!A$8:B$11,2,FALSE)</f>
        <v>1</v>
      </c>
      <c r="U18" s="114" t="str">
        <f>VLOOKUP(I18,'Maturity Rating'!A$14:B$17,2,FALSE)</f>
        <v>NA</v>
      </c>
      <c r="V18" s="114">
        <f>VLOOKUP(J18,'Maturity Rating'!A$20:B$23,2,FALSE)</f>
        <v>1</v>
      </c>
      <c r="W18" t="str">
        <f t="shared" ref="W18:W24" si="5">CONCATENATE(S18,T18,U18,V18)</f>
        <v>11NA1</v>
      </c>
    </row>
    <row r="19" spans="1:24" ht="43.5">
      <c r="A19" s="111">
        <v>18.16</v>
      </c>
      <c r="B19" s="356"/>
      <c r="C19" s="358"/>
      <c r="D19" s="258"/>
      <c r="E19" s="69" t="s">
        <v>716</v>
      </c>
      <c r="F19" s="112" t="s">
        <v>89</v>
      </c>
      <c r="G19" s="263" t="s">
        <v>127</v>
      </c>
      <c r="H19" s="263" t="s">
        <v>95</v>
      </c>
      <c r="I19" s="263" t="s">
        <v>91</v>
      </c>
      <c r="J19" s="87" t="s">
        <v>102</v>
      </c>
      <c r="K19" s="271">
        <f t="shared" si="4"/>
        <v>1</v>
      </c>
      <c r="L19" s="273">
        <f>IF(AND(D19="K",K19=1),'Maturity Rating'!$E$8,IF(K19="NA",K19,IF(D19="K",K19*'Maturity Rating'!$E$7,K19)))</f>
        <v>1</v>
      </c>
      <c r="M19" s="339"/>
      <c r="N19" s="339"/>
      <c r="O19" s="352"/>
      <c r="P19" s="27"/>
      <c r="Q19" s="27"/>
      <c r="S19" s="114">
        <f>VLOOKUP(G19,'Maturity Rating'!A$2:B$5,2,FALSE)</f>
        <v>1</v>
      </c>
      <c r="T19" s="114">
        <f>VLOOKUP(H19,'Maturity Rating'!A$8:B$11,2,FALSE)</f>
        <v>1</v>
      </c>
      <c r="U19" s="114" t="str">
        <f>VLOOKUP(I19,'Maturity Rating'!A$14:B$17,2,FALSE)</f>
        <v>NA</v>
      </c>
      <c r="V19" s="114">
        <f>VLOOKUP(J19,'Maturity Rating'!A$20:B$23,2,FALSE)</f>
        <v>1</v>
      </c>
      <c r="W19" t="str">
        <f t="shared" si="5"/>
        <v>11NA1</v>
      </c>
    </row>
    <row r="20" spans="1:24" ht="43.5">
      <c r="A20" s="111">
        <v>18.170000000000002</v>
      </c>
      <c r="B20" s="356"/>
      <c r="C20" s="358"/>
      <c r="D20" s="258"/>
      <c r="E20" s="69" t="s">
        <v>717</v>
      </c>
      <c r="F20" s="112" t="s">
        <v>89</v>
      </c>
      <c r="G20" s="263" t="s">
        <v>127</v>
      </c>
      <c r="H20" s="263" t="s">
        <v>95</v>
      </c>
      <c r="I20" s="263" t="s">
        <v>91</v>
      </c>
      <c r="J20" s="87" t="s">
        <v>102</v>
      </c>
      <c r="K20" s="271">
        <f t="shared" si="4"/>
        <v>1</v>
      </c>
      <c r="L20" s="273">
        <f>IF(AND(D20="K",K20=1),'Maturity Rating'!$E$8,IF(K20="NA",K20,IF(D20="K",K20*'Maturity Rating'!$E$7,K20)))</f>
        <v>1</v>
      </c>
      <c r="M20" s="339"/>
      <c r="N20" s="339"/>
      <c r="O20" s="352"/>
      <c r="P20" s="27"/>
      <c r="Q20" s="27"/>
      <c r="S20" s="114">
        <f>VLOOKUP(G20,'Maturity Rating'!A$2:B$5,2,FALSE)</f>
        <v>1</v>
      </c>
      <c r="T20" s="114">
        <f>VLOOKUP(H20,'Maturity Rating'!A$8:B$11,2,FALSE)</f>
        <v>1</v>
      </c>
      <c r="U20" s="114" t="str">
        <f>VLOOKUP(I20,'Maturity Rating'!A$14:B$17,2,FALSE)</f>
        <v>NA</v>
      </c>
      <c r="V20" s="114">
        <f>VLOOKUP(J20,'Maturity Rating'!A$20:B$23,2,FALSE)</f>
        <v>1</v>
      </c>
      <c r="W20" t="str">
        <f t="shared" si="5"/>
        <v>11NA1</v>
      </c>
    </row>
    <row r="21" spans="1:24" ht="43.5">
      <c r="A21" s="111">
        <v>18.18</v>
      </c>
      <c r="B21" s="356"/>
      <c r="C21" s="358"/>
      <c r="D21" s="258"/>
      <c r="E21" s="69" t="s">
        <v>718</v>
      </c>
      <c r="F21" s="112" t="s">
        <v>89</v>
      </c>
      <c r="G21" s="263" t="s">
        <v>127</v>
      </c>
      <c r="H21" s="263" t="s">
        <v>95</v>
      </c>
      <c r="I21" s="263" t="s">
        <v>91</v>
      </c>
      <c r="J21" s="87" t="s">
        <v>102</v>
      </c>
      <c r="K21" s="271">
        <f t="shared" si="4"/>
        <v>1</v>
      </c>
      <c r="L21" s="273">
        <f>IF(AND(D21="K",K21=1),'Maturity Rating'!$E$8,IF(K21="NA",K21,IF(D21="K",K21*'Maturity Rating'!$E$7,K21)))</f>
        <v>1</v>
      </c>
      <c r="M21" s="339"/>
      <c r="N21" s="339"/>
      <c r="O21" s="352"/>
      <c r="P21" s="27"/>
      <c r="Q21" s="27"/>
      <c r="S21" s="114">
        <f>VLOOKUP(G21,'Maturity Rating'!A$2:B$5,2,FALSE)</f>
        <v>1</v>
      </c>
      <c r="T21" s="114">
        <f>VLOOKUP(H21,'Maturity Rating'!A$8:B$11,2,FALSE)</f>
        <v>1</v>
      </c>
      <c r="U21" s="114" t="str">
        <f>VLOOKUP(I21,'Maturity Rating'!A$14:B$17,2,FALSE)</f>
        <v>NA</v>
      </c>
      <c r="V21" s="114">
        <f>VLOOKUP(J21,'Maturity Rating'!A$20:B$23,2,FALSE)</f>
        <v>1</v>
      </c>
      <c r="W21" t="str">
        <f t="shared" si="5"/>
        <v>11NA1</v>
      </c>
    </row>
    <row r="22" spans="1:24" ht="58">
      <c r="A22" s="111">
        <v>18.190000000000001</v>
      </c>
      <c r="B22" s="356"/>
      <c r="C22" s="358"/>
      <c r="D22" s="258"/>
      <c r="E22" s="69" t="s">
        <v>719</v>
      </c>
      <c r="F22" s="112" t="s">
        <v>89</v>
      </c>
      <c r="G22" s="263" t="s">
        <v>90</v>
      </c>
      <c r="H22" s="263" t="s">
        <v>100</v>
      </c>
      <c r="I22" s="263" t="s">
        <v>91</v>
      </c>
      <c r="J22" s="87" t="s">
        <v>129</v>
      </c>
      <c r="K22" s="271">
        <f t="shared" si="4"/>
        <v>2.6666666666666665</v>
      </c>
      <c r="L22" s="273">
        <f>IF(AND(D22="K",K22=1),'Maturity Rating'!$E$8,IF(K22="NA",K22,IF(D22="K",K22*'Maturity Rating'!$E$7,K22)))</f>
        <v>2.6666666666666665</v>
      </c>
      <c r="M22" s="339"/>
      <c r="N22" s="339"/>
      <c r="O22" s="352"/>
      <c r="P22" s="27"/>
      <c r="Q22" s="27"/>
      <c r="S22" s="114">
        <f>VLOOKUP(G22,'Maturity Rating'!A$2:B$5,2,FALSE)</f>
        <v>2</v>
      </c>
      <c r="T22" s="114">
        <f>VLOOKUP(H22,'Maturity Rating'!A$8:B$11,2,FALSE)</f>
        <v>3</v>
      </c>
      <c r="U22" s="114" t="str">
        <f>VLOOKUP(I22,'Maturity Rating'!A$14:B$17,2,FALSE)</f>
        <v>NA</v>
      </c>
      <c r="V22" s="114">
        <f>VLOOKUP(J22,'Maturity Rating'!A$20:B$23,2,FALSE)</f>
        <v>3</v>
      </c>
      <c r="W22" t="str">
        <f t="shared" si="5"/>
        <v>23NA3</v>
      </c>
    </row>
    <row r="23" spans="1:24" ht="43.5">
      <c r="A23" s="111" t="s">
        <v>720</v>
      </c>
      <c r="B23" s="356"/>
      <c r="C23" s="358"/>
      <c r="D23" s="258"/>
      <c r="E23" s="69" t="s">
        <v>721</v>
      </c>
      <c r="F23" s="112" t="s">
        <v>89</v>
      </c>
      <c r="G23" s="263" t="s">
        <v>127</v>
      </c>
      <c r="H23" s="263" t="s">
        <v>95</v>
      </c>
      <c r="I23" s="263" t="s">
        <v>91</v>
      </c>
      <c r="J23" s="87" t="s">
        <v>102</v>
      </c>
      <c r="K23" s="271">
        <f t="shared" si="4"/>
        <v>1</v>
      </c>
      <c r="L23" s="273">
        <f>IF(AND(D23="K",K23=1),'Maturity Rating'!$E$8,IF(K23="NA",K23,IF(D23="K",K23*'Maturity Rating'!$E$7,K23)))</f>
        <v>1</v>
      </c>
      <c r="M23" s="339"/>
      <c r="N23" s="339"/>
      <c r="O23" s="352"/>
      <c r="P23" s="27"/>
      <c r="Q23" s="27"/>
      <c r="S23" s="114">
        <f>VLOOKUP(G23,'Maturity Rating'!A$2:B$5,2,FALSE)</f>
        <v>1</v>
      </c>
      <c r="T23" s="114">
        <f>VLOOKUP(H23,'Maturity Rating'!A$8:B$11,2,FALSE)</f>
        <v>1</v>
      </c>
      <c r="U23" s="114" t="str">
        <f>VLOOKUP(I23,'Maturity Rating'!A$14:B$17,2,FALSE)</f>
        <v>NA</v>
      </c>
      <c r="V23" s="114">
        <f>VLOOKUP(J23,'Maturity Rating'!A$20:B$23,2,FALSE)</f>
        <v>1</v>
      </c>
      <c r="W23" t="str">
        <f t="shared" si="5"/>
        <v>11NA1</v>
      </c>
    </row>
    <row r="24" spans="1:24" ht="43.5">
      <c r="A24" s="111">
        <v>18.21</v>
      </c>
      <c r="B24" s="356"/>
      <c r="C24" s="358"/>
      <c r="D24" s="258"/>
      <c r="E24" s="194" t="s">
        <v>722</v>
      </c>
      <c r="F24" s="112" t="s">
        <v>89</v>
      </c>
      <c r="G24" s="263" t="s">
        <v>127</v>
      </c>
      <c r="H24" s="263" t="s">
        <v>95</v>
      </c>
      <c r="I24" s="263" t="s">
        <v>91</v>
      </c>
      <c r="J24" s="87" t="s">
        <v>102</v>
      </c>
      <c r="K24" s="271">
        <f t="shared" si="4"/>
        <v>1</v>
      </c>
      <c r="L24" s="273">
        <f>IF(AND(D24="K",K24=1),'Maturity Rating'!$E$8,IF(K24="NA",K24,IF(D24="K",K24*'Maturity Rating'!$E$7,K24)))</f>
        <v>1</v>
      </c>
      <c r="M24" s="339"/>
      <c r="N24" s="339"/>
      <c r="O24" s="352"/>
      <c r="P24" s="27"/>
      <c r="Q24" s="27"/>
      <c r="S24" s="114">
        <f>VLOOKUP(G24,'Maturity Rating'!A$2:B$5,2,FALSE)</f>
        <v>1</v>
      </c>
      <c r="T24" s="114">
        <f>VLOOKUP(H24,'Maturity Rating'!A$8:B$11,2,FALSE)</f>
        <v>1</v>
      </c>
      <c r="U24" s="114" t="str">
        <f>VLOOKUP(I24,'Maturity Rating'!A$14:B$17,2,FALSE)</f>
        <v>NA</v>
      </c>
      <c r="V24" s="114">
        <f>VLOOKUP(J24,'Maturity Rating'!A$20:B$23,2,FALSE)</f>
        <v>1</v>
      </c>
      <c r="W24" t="str">
        <f t="shared" si="5"/>
        <v>11NA1</v>
      </c>
    </row>
    <row r="25" spans="1:24" ht="29.25" customHeight="1" thickBot="1">
      <c r="A25" s="2">
        <v>18.22</v>
      </c>
      <c r="B25" s="376"/>
      <c r="C25" s="360"/>
      <c r="D25" s="259"/>
      <c r="E25" s="268" t="s">
        <v>723</v>
      </c>
      <c r="F25" s="59" t="s">
        <v>105</v>
      </c>
      <c r="G25" s="259" t="s">
        <v>118</v>
      </c>
      <c r="H25" s="259" t="s">
        <v>100</v>
      </c>
      <c r="I25" s="259" t="s">
        <v>120</v>
      </c>
      <c r="J25" s="80" t="s">
        <v>129</v>
      </c>
      <c r="K25" s="272">
        <f t="shared" si="0"/>
        <v>3</v>
      </c>
      <c r="L25" s="272">
        <f>IF(AND(D25="K",K25=1),'Maturity Rating'!$E$8,IF(K25="NA",K25,IF(D25="K",K25*'Maturity Rating'!$E$7,K25)))</f>
        <v>3</v>
      </c>
      <c r="M25" s="340"/>
      <c r="N25" s="340"/>
      <c r="O25" s="343"/>
      <c r="P25" s="27"/>
      <c r="Q25" s="27"/>
      <c r="S25" s="114">
        <f>VLOOKUP(G25,'Maturity Rating'!A$2:B$5,2,FALSE)</f>
        <v>3</v>
      </c>
      <c r="T25" s="114">
        <f>VLOOKUP(H25,'Maturity Rating'!A$8:B$11,2,FALSE)</f>
        <v>3</v>
      </c>
      <c r="U25" s="114">
        <f>VLOOKUP(I25,'Maturity Rating'!A$14:B$17,2,FALSE)</f>
        <v>3</v>
      </c>
      <c r="V25" s="114">
        <f>VLOOKUP(J25,'Maturity Rating'!A$20:B$23,2,FALSE)</f>
        <v>3</v>
      </c>
      <c r="W25" t="str">
        <f t="shared" si="1"/>
        <v>3333</v>
      </c>
    </row>
    <row r="26" spans="1:24" ht="29">
      <c r="A26" s="4">
        <v>18.23</v>
      </c>
      <c r="B26" s="355" t="s">
        <v>724</v>
      </c>
      <c r="C26" s="357" t="s">
        <v>725</v>
      </c>
      <c r="D26" s="256"/>
      <c r="E26" s="277" t="s">
        <v>726</v>
      </c>
      <c r="F26" s="56" t="s">
        <v>89</v>
      </c>
      <c r="G26" s="256" t="s">
        <v>127</v>
      </c>
      <c r="H26" s="256" t="s">
        <v>95</v>
      </c>
      <c r="I26" s="256" t="s">
        <v>91</v>
      </c>
      <c r="J26" s="108" t="s">
        <v>102</v>
      </c>
      <c r="K26" s="278">
        <f t="shared" si="0"/>
        <v>1</v>
      </c>
      <c r="L26" s="278">
        <f>IF(AND(D26="K",K26=1),'Maturity Rating'!$E$8,IF(K26="NA",K26,IF(D26="K",K26*'Maturity Rating'!$E$7,K26)))</f>
        <v>1</v>
      </c>
      <c r="M26" s="338">
        <f>IF(X26="NANANA",K26,AVERAGE(L26:L28))</f>
        <v>2.5333333333333332</v>
      </c>
      <c r="N26" s="338">
        <f>IF(M26&lt;1.1,1,IF(M26="NA",M26,(MIN(5,M26/3*5))))</f>
        <v>4.2222222222222223</v>
      </c>
      <c r="O26" s="341" t="str">
        <f>IF(N26="NA",N26,VLOOKUP(Q26,'Maturity Rating'!G4:H8,2,FALSE))</f>
        <v>Repeatable</v>
      </c>
      <c r="P26" s="27"/>
      <c r="Q26" s="229">
        <f>IF(N26="NA",N26,ROUNDDOWN(N26,0))</f>
        <v>4</v>
      </c>
      <c r="S26" s="114">
        <f>VLOOKUP(G26,'Maturity Rating'!A$2:B$5,2,FALSE)</f>
        <v>1</v>
      </c>
      <c r="T26" s="114">
        <f>VLOOKUP(H26,'Maturity Rating'!A$8:B$11,2,FALSE)</f>
        <v>1</v>
      </c>
      <c r="U26" s="114" t="str">
        <f>VLOOKUP(I26,'Maturity Rating'!A$14:B$17,2,FALSE)</f>
        <v>NA</v>
      </c>
      <c r="V26" s="114">
        <f>VLOOKUP(J26,'Maturity Rating'!A$20:B$23,2,FALSE)</f>
        <v>1</v>
      </c>
      <c r="W26" t="str">
        <f t="shared" si="1"/>
        <v>11NA1</v>
      </c>
      <c r="X26" t="str">
        <f>CONCATENATE(L26,L27,L28)</f>
        <v>133.6</v>
      </c>
    </row>
    <row r="27" spans="1:24" ht="29">
      <c r="A27" s="3">
        <v>18.239999999999998</v>
      </c>
      <c r="B27" s="356"/>
      <c r="C27" s="358"/>
      <c r="D27" s="257"/>
      <c r="E27" s="28" t="s">
        <v>727</v>
      </c>
      <c r="F27" s="55" t="s">
        <v>105</v>
      </c>
      <c r="G27" s="257" t="s">
        <v>118</v>
      </c>
      <c r="H27" s="263" t="s">
        <v>100</v>
      </c>
      <c r="I27" s="263" t="s">
        <v>120</v>
      </c>
      <c r="J27" s="87" t="s">
        <v>129</v>
      </c>
      <c r="K27" s="271">
        <f t="shared" si="0"/>
        <v>3</v>
      </c>
      <c r="L27" s="271">
        <f>IF(AND(D27="K",K27=1),'Maturity Rating'!$E$8,IF(K27="NA",K27,IF(D27="K",K27*'Maturity Rating'!$E$7,K27)))</f>
        <v>3</v>
      </c>
      <c r="M27" s="339"/>
      <c r="N27" s="339"/>
      <c r="O27" s="342"/>
      <c r="P27" s="27"/>
      <c r="Q27" s="27"/>
      <c r="S27" s="114">
        <f>VLOOKUP(G27,'Maturity Rating'!A$2:B$5,2,FALSE)</f>
        <v>3</v>
      </c>
      <c r="T27" s="114">
        <f>VLOOKUP(H27,'Maturity Rating'!A$8:B$11,2,FALSE)</f>
        <v>3</v>
      </c>
      <c r="U27" s="114">
        <f>VLOOKUP(I27,'Maturity Rating'!A$14:B$17,2,FALSE)</f>
        <v>3</v>
      </c>
      <c r="V27" s="114">
        <f>VLOOKUP(J27,'Maturity Rating'!A$20:B$23,2,FALSE)</f>
        <v>3</v>
      </c>
      <c r="W27" t="str">
        <f t="shared" si="1"/>
        <v>3333</v>
      </c>
    </row>
    <row r="28" spans="1:24" ht="42.75" customHeight="1" thickBot="1">
      <c r="A28" s="111">
        <v>18.25</v>
      </c>
      <c r="B28" s="356"/>
      <c r="C28" s="358"/>
      <c r="D28" s="258" t="s">
        <v>87</v>
      </c>
      <c r="E28" s="146" t="s">
        <v>728</v>
      </c>
      <c r="F28" s="112" t="s">
        <v>105</v>
      </c>
      <c r="G28" s="258" t="s">
        <v>118</v>
      </c>
      <c r="H28" s="258" t="s">
        <v>100</v>
      </c>
      <c r="I28" s="258" t="s">
        <v>120</v>
      </c>
      <c r="J28" s="95" t="s">
        <v>129</v>
      </c>
      <c r="K28" s="274">
        <f t="shared" si="0"/>
        <v>3</v>
      </c>
      <c r="L28" s="274">
        <f>IF(AND(D28="K",K28=1),'Maturity Rating'!$E$8,IF(K28="NA",K28,IF(D28="K",K28*'Maturity Rating'!$E$7,K28)))</f>
        <v>3.5999999999999996</v>
      </c>
      <c r="M28" s="339"/>
      <c r="N28" s="339"/>
      <c r="O28" s="352"/>
      <c r="P28" s="27"/>
      <c r="Q28" s="27"/>
      <c r="S28" s="114">
        <f>VLOOKUP(G28,'Maturity Rating'!A$2:B$5,2,FALSE)</f>
        <v>3</v>
      </c>
      <c r="T28" s="114">
        <f>VLOOKUP(H28,'Maturity Rating'!A$8:B$11,2,FALSE)</f>
        <v>3</v>
      </c>
      <c r="U28" s="114">
        <f>VLOOKUP(I28,'Maturity Rating'!A$14:B$17,2,FALSE)</f>
        <v>3</v>
      </c>
      <c r="V28" s="114">
        <f>VLOOKUP(J28,'Maturity Rating'!A$20:B$23,2,FALSE)</f>
        <v>3</v>
      </c>
      <c r="W28" t="str">
        <f t="shared" si="1"/>
        <v>3333</v>
      </c>
    </row>
    <row r="29" spans="1:24">
      <c r="A29" s="204">
        <v>18.260000000000002</v>
      </c>
      <c r="B29" s="404" t="s">
        <v>729</v>
      </c>
      <c r="C29" s="406" t="s">
        <v>730</v>
      </c>
      <c r="D29" s="73" t="s">
        <v>87</v>
      </c>
      <c r="E29" s="254" t="s">
        <v>731</v>
      </c>
      <c r="F29" s="76" t="s">
        <v>89</v>
      </c>
      <c r="G29" s="256" t="s">
        <v>118</v>
      </c>
      <c r="H29" s="256" t="s">
        <v>100</v>
      </c>
      <c r="I29" s="256" t="s">
        <v>120</v>
      </c>
      <c r="J29" s="108" t="s">
        <v>129</v>
      </c>
      <c r="K29" s="278">
        <f t="shared" ref="K29:K30" si="6">IF(W29="NANANANA",S29,IF(AND(OR(G29="Formally Documented",G29="Informally Documented"),H29="Not Implemented"),0.5*AVERAGE(S29:V29),AVERAGE(S29:V29)))</f>
        <v>3</v>
      </c>
      <c r="L29" s="278">
        <f>IF(AND(D29="K",K29=1),'Maturity Rating'!$E$8,IF(K29="NA",K29,IF(D29="K",K29*'Maturity Rating'!$E$7,K29)))</f>
        <v>3.5999999999999996</v>
      </c>
      <c r="M29" s="338">
        <f>IF(X29="NANANA",K29,AVERAGE(L29:L30))</f>
        <v>2.2999999999999998</v>
      </c>
      <c r="N29" s="338">
        <f>IF(M29&lt;1.1,1,IF(M29="NA",M29,(MIN(5,M29/3*5))))</f>
        <v>3.833333333333333</v>
      </c>
      <c r="O29" s="363" t="str">
        <f>IF(N29="NA",N29,VLOOKUP(Q29,'Maturity Rating'!G4:H8,2,FALSE))</f>
        <v>Defined</v>
      </c>
      <c r="Q29" s="229">
        <f>IF(N29="NA",N29,ROUNDDOWN(N29,0))</f>
        <v>3</v>
      </c>
      <c r="S29" s="114">
        <f>VLOOKUP(G29,'Maturity Rating'!A$2:B$5,2,FALSE)</f>
        <v>3</v>
      </c>
      <c r="T29" s="114">
        <f>VLOOKUP(H29,'Maturity Rating'!A$8:B$11,2,FALSE)</f>
        <v>3</v>
      </c>
      <c r="U29" s="114">
        <f>VLOOKUP(I29,'Maturity Rating'!A$14:B$17,2,FALSE)</f>
        <v>3</v>
      </c>
      <c r="V29" s="114">
        <f>VLOOKUP(J29,'Maturity Rating'!A$20:B$23,2,FALSE)</f>
        <v>3</v>
      </c>
      <c r="W29" t="str">
        <f t="shared" ref="W29:W30" si="7">CONCATENATE(S29,T29,U29,V29)</f>
        <v>3333</v>
      </c>
      <c r="X29" t="str">
        <f>CONCATENATE(L29,L30)</f>
        <v>3.61</v>
      </c>
    </row>
    <row r="30" spans="1:24" ht="29.5" thickBot="1">
      <c r="A30" s="205">
        <v>18.27</v>
      </c>
      <c r="B30" s="405"/>
      <c r="C30" s="407"/>
      <c r="D30" s="61"/>
      <c r="E30" s="192" t="s">
        <v>732</v>
      </c>
      <c r="F30" s="206" t="s">
        <v>89</v>
      </c>
      <c r="G30" s="259" t="s">
        <v>127</v>
      </c>
      <c r="H30" s="259" t="s">
        <v>95</v>
      </c>
      <c r="I30" s="259" t="s">
        <v>91</v>
      </c>
      <c r="J30" s="259" t="s">
        <v>102</v>
      </c>
      <c r="K30" s="272">
        <f t="shared" si="6"/>
        <v>1</v>
      </c>
      <c r="L30" s="272">
        <f>IF(AND(D30="K",K30=1),'Maturity Rating'!$E$8,IF(K30="NA",K30,IF(D30="K",K30*'Maturity Rating'!$E$7,K30)))</f>
        <v>1</v>
      </c>
      <c r="M30" s="340"/>
      <c r="N30" s="340"/>
      <c r="O30" s="362"/>
      <c r="S30" s="114">
        <f>VLOOKUP(G30,'Maturity Rating'!A$2:B$5,2,FALSE)</f>
        <v>1</v>
      </c>
      <c r="T30" s="114">
        <f>VLOOKUP(H30,'Maturity Rating'!A$8:B$11,2,FALSE)</f>
        <v>1</v>
      </c>
      <c r="U30" s="114" t="str">
        <f>VLOOKUP(I30,'Maturity Rating'!A$14:B$17,2,FALSE)</f>
        <v>NA</v>
      </c>
      <c r="V30" s="114">
        <f>VLOOKUP(J30,'Maturity Rating'!A$20:B$23,2,FALSE)</f>
        <v>1</v>
      </c>
      <c r="W30" t="str">
        <f t="shared" si="7"/>
        <v>11NA1</v>
      </c>
    </row>
  </sheetData>
  <mergeCells count="21">
    <mergeCell ref="O29:O30"/>
    <mergeCell ref="N29:N30"/>
    <mergeCell ref="M29:M30"/>
    <mergeCell ref="C1:D1"/>
    <mergeCell ref="B4:B6"/>
    <mergeCell ref="C4:C6"/>
    <mergeCell ref="M4:M6"/>
    <mergeCell ref="N4:N6"/>
    <mergeCell ref="N7:N25"/>
    <mergeCell ref="O7:O25"/>
    <mergeCell ref="B29:B30"/>
    <mergeCell ref="C29:C30"/>
    <mergeCell ref="O4:O6"/>
    <mergeCell ref="B26:B28"/>
    <mergeCell ref="C26:C28"/>
    <mergeCell ref="M26:M28"/>
    <mergeCell ref="N26:N28"/>
    <mergeCell ref="O26:O28"/>
    <mergeCell ref="B7:B25"/>
    <mergeCell ref="C7:C25"/>
    <mergeCell ref="M7:M25"/>
  </mergeCells>
  <pageMargins left="0.7" right="0.7" top="0.75" bottom="0.75" header="0.3" footer="0.3"/>
  <pageSetup paperSize="9" orientation="portrait" r:id="rId1"/>
  <ignoredErrors>
    <ignoredError sqref="E1:F1 K5:O30 K4:L4 N4:O4" evalError="1"/>
  </ignoredErrors>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1500-000000000000}">
          <x14:formula1>
            <xm:f>'Maturity Rating'!$A$2:$A$5</xm:f>
          </x14:formula1>
          <xm:sqref>G4:G30</xm:sqref>
        </x14:dataValidation>
        <x14:dataValidation type="list" allowBlank="1" showInputMessage="1" showErrorMessage="1" xr:uid="{00000000-0002-0000-1500-000001000000}">
          <x14:formula1>
            <xm:f>'Maturity Rating'!$A$14:$A$17</xm:f>
          </x14:formula1>
          <xm:sqref>I4:I30</xm:sqref>
        </x14:dataValidation>
        <x14:dataValidation type="list" allowBlank="1" showInputMessage="1" showErrorMessage="1" xr:uid="{00000000-0002-0000-1500-000002000000}">
          <x14:formula1>
            <xm:f>'Maturity Rating'!$A$20:$A$23</xm:f>
          </x14:formula1>
          <xm:sqref>J4:J30</xm:sqref>
        </x14:dataValidation>
        <x14:dataValidation type="list" allowBlank="1" showInputMessage="1" showErrorMessage="1" xr:uid="{00000000-0002-0000-1500-000003000000}">
          <x14:formula1>
            <xm:f>'Maturity Rating'!$A$8:$A$11</xm:f>
          </x14:formula1>
          <xm:sqref>H4:H30</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2"/>
  </sheetPr>
  <dimension ref="A1:Y19"/>
  <sheetViews>
    <sheetView showGridLines="0" zoomScale="56" zoomScaleNormal="80" workbookViewId="0"/>
  </sheetViews>
  <sheetFormatPr defaultColWidth="9.08984375" defaultRowHeight="14.5"/>
  <cols>
    <col min="1" max="1" width="8.36328125" style="22" customWidth="1"/>
    <col min="2" max="2" width="23.08984375" style="24" customWidth="1"/>
    <col min="3" max="3" width="34.90625" style="25" customWidth="1"/>
    <col min="4" max="4" width="25" style="25" customWidth="1"/>
    <col min="5" max="5" width="79.1796875" style="24" customWidth="1"/>
    <col min="6" max="6" width="31.36328125" style="24" customWidth="1"/>
    <col min="7" max="10" width="20.6328125" style="62" customWidth="1"/>
    <col min="11" max="11" width="13.6328125" style="24" bestFit="1" customWidth="1"/>
    <col min="12" max="12" width="26.36328125" style="24" customWidth="1"/>
    <col min="13" max="13" width="18.81640625" style="24" customWidth="1"/>
    <col min="14" max="14" width="20.90625" style="24" customWidth="1"/>
    <col min="15" max="15" width="13.6328125" style="24" customWidth="1"/>
    <col min="16" max="16" width="3.36328125" customWidth="1"/>
    <col min="17" max="17" width="6.453125" hidden="1" customWidth="1"/>
    <col min="18" max="18" width="9.6328125" hidden="1" customWidth="1"/>
    <col min="19" max="19" width="9.36328125" style="189" hidden="1" customWidth="1"/>
    <col min="20" max="20" width="11" style="189" hidden="1" customWidth="1"/>
    <col min="21" max="21" width="9" style="189" hidden="1" customWidth="1"/>
    <col min="22" max="22" width="12.08984375" style="189" hidden="1" customWidth="1"/>
    <col min="23" max="23" width="10" hidden="1" customWidth="1"/>
    <col min="24" max="24" width="13.54296875" style="255" hidden="1" customWidth="1"/>
    <col min="26" max="16384" width="9.08984375" style="24"/>
  </cols>
  <sheetData>
    <row r="1" spans="1:25" ht="22.5" customHeight="1" thickBot="1">
      <c r="C1" s="353" t="s">
        <v>66</v>
      </c>
      <c r="D1" s="354"/>
      <c r="E1" s="45" t="str">
        <f>IF(F1="NANANA","Not Applicable",VLOOKUP(T1,'Maturity Rating'!G4:H8,2,FALSE))</f>
        <v>Defined</v>
      </c>
      <c r="F1" s="46">
        <f>IF(U1="NANANANA","NA",AVERAGE(N4:N19))</f>
        <v>3.2819444444444446</v>
      </c>
      <c r="G1" s="22"/>
      <c r="I1" s="22"/>
      <c r="K1" s="84"/>
      <c r="Q1" s="224"/>
      <c r="S1"/>
      <c r="T1" s="235">
        <f>ROUNDDOWN(F1,0)</f>
        <v>3</v>
      </c>
      <c r="U1" s="228" t="str">
        <f>CONCATENATE(N4,N7,N10,N15)</f>
        <v>4.222222222222224.222222222222222.016666666666672.66666666666667</v>
      </c>
      <c r="V1"/>
    </row>
    <row r="2" spans="1:25" ht="15" thickBot="1">
      <c r="A2" s="127"/>
      <c r="B2" s="128"/>
      <c r="C2" s="129"/>
      <c r="D2" s="129"/>
      <c r="E2" s="130"/>
      <c r="F2" s="130"/>
      <c r="G2" s="131"/>
      <c r="H2" s="131"/>
      <c r="I2" s="131"/>
      <c r="J2" s="131"/>
      <c r="K2" s="128"/>
    </row>
    <row r="3" spans="1:25" s="22" customFormat="1" ht="30.75" customHeight="1" thickBot="1">
      <c r="A3" s="126" t="s">
        <v>2</v>
      </c>
      <c r="B3" s="81" t="s">
        <v>67</v>
      </c>
      <c r="C3" s="126" t="s">
        <v>68</v>
      </c>
      <c r="D3" s="126" t="s">
        <v>69</v>
      </c>
      <c r="E3" s="126" t="s">
        <v>70</v>
      </c>
      <c r="F3" s="81" t="s">
        <v>71</v>
      </c>
      <c r="G3" s="126" t="s">
        <v>72</v>
      </c>
      <c r="H3" s="81" t="s">
        <v>73</v>
      </c>
      <c r="I3" s="81" t="s">
        <v>74</v>
      </c>
      <c r="J3" s="126" t="s">
        <v>75</v>
      </c>
      <c r="K3" s="126" t="s">
        <v>76</v>
      </c>
      <c r="L3" s="81" t="s">
        <v>77</v>
      </c>
      <c r="M3" s="81" t="s">
        <v>78</v>
      </c>
      <c r="N3" s="81" t="s">
        <v>79</v>
      </c>
      <c r="O3" s="101" t="s">
        <v>80</v>
      </c>
      <c r="P3"/>
      <c r="Q3"/>
      <c r="R3"/>
      <c r="S3" s="227" t="s">
        <v>81</v>
      </c>
      <c r="T3" s="227" t="s">
        <v>82</v>
      </c>
      <c r="U3" s="227" t="s">
        <v>83</v>
      </c>
      <c r="V3" s="227" t="s">
        <v>84</v>
      </c>
      <c r="W3" s="228"/>
      <c r="X3" s="255"/>
      <c r="Y3" s="228"/>
    </row>
    <row r="4" spans="1:25" ht="30" customHeight="1">
      <c r="A4" s="93">
        <v>19.100000000000001</v>
      </c>
      <c r="B4" s="344" t="s">
        <v>85</v>
      </c>
      <c r="C4" s="364" t="s">
        <v>733</v>
      </c>
      <c r="D4" s="263" t="s">
        <v>87</v>
      </c>
      <c r="E4" s="147" t="s">
        <v>734</v>
      </c>
      <c r="F4" s="263" t="s">
        <v>89</v>
      </c>
      <c r="G4" s="263" t="s">
        <v>118</v>
      </c>
      <c r="H4" s="263" t="s">
        <v>100</v>
      </c>
      <c r="I4" s="263" t="s">
        <v>120</v>
      </c>
      <c r="J4" s="263" t="s">
        <v>129</v>
      </c>
      <c r="K4" s="271">
        <f>IF(W4="NANANANA",S4,IF(AND(OR(G4="Formally Documented",G4="Informally Documented"),H4="Not Implemented"),0.5*AVERAGE(S4:V4),AVERAGE(S4:V4)))</f>
        <v>3</v>
      </c>
      <c r="L4" s="271">
        <f>IF(AND(D4="K",K4=1),'Maturity Rating'!$E$8,IF(K4="NA",K4,IF(D4="K",K4*'Maturity Rating'!$E$7,K4)))</f>
        <v>3.5999999999999996</v>
      </c>
      <c r="M4" s="338">
        <f>IF(X4="NANANA",K4,AVERAGE(L4:L6))</f>
        <v>2.5333333333333332</v>
      </c>
      <c r="N4" s="338">
        <f>IF(M4&lt;1.1,1,IF(M4="NA",M4,(MIN(5,M4/3*5))))</f>
        <v>4.2222222222222223</v>
      </c>
      <c r="O4" s="408" t="str">
        <f>IF(N4="NA",N4,VLOOKUP(Q4,'Maturity Rating'!G$4:H$8,2,FALSE))</f>
        <v>Repeatable</v>
      </c>
      <c r="P4" s="27"/>
      <c r="Q4" s="229">
        <f>IF(N4="NA",N4,ROUNDDOWN(N4,0))</f>
        <v>4</v>
      </c>
      <c r="S4" s="114">
        <f>VLOOKUP(G4,'Maturity Rating'!A$2:B$5,2,FALSE)</f>
        <v>3</v>
      </c>
      <c r="T4" s="114">
        <f>VLOOKUP(H4,'Maturity Rating'!A$8:B$11,2,FALSE)</f>
        <v>3</v>
      </c>
      <c r="U4" s="114">
        <f>VLOOKUP(I4,'Maturity Rating'!A$14:B$17,2,FALSE)</f>
        <v>3</v>
      </c>
      <c r="V4" s="114">
        <f>VLOOKUP(J4,'Maturity Rating'!A$20:B$23,2,FALSE)</f>
        <v>3</v>
      </c>
      <c r="W4" t="str">
        <f>CONCATENATE(S4,T4,U4,V4)</f>
        <v>3333</v>
      </c>
      <c r="X4" s="255" t="str">
        <f>CONCATENATE(L4,L5,L6)</f>
        <v>3.631</v>
      </c>
    </row>
    <row r="5" spans="1:25" ht="29">
      <c r="A5" s="74">
        <v>19.2</v>
      </c>
      <c r="B5" s="345"/>
      <c r="C5" s="365"/>
      <c r="D5" s="257"/>
      <c r="E5" s="266" t="s">
        <v>735</v>
      </c>
      <c r="F5" s="257" t="s">
        <v>89</v>
      </c>
      <c r="G5" s="257" t="s">
        <v>118</v>
      </c>
      <c r="H5" s="257" t="s">
        <v>100</v>
      </c>
      <c r="I5" s="257" t="s">
        <v>120</v>
      </c>
      <c r="J5" s="257" t="s">
        <v>129</v>
      </c>
      <c r="K5" s="271">
        <f t="shared" ref="K5:K19" si="0">IF(W5="NANANANA",S5,IF(AND(OR(G5="Formally Documented",G5="Informally Documented"),H5="Not Implemented"),0.5*AVERAGE(S5:V5),AVERAGE(S5:V5)))</f>
        <v>3</v>
      </c>
      <c r="L5" s="273">
        <f>IF(AND(D5="K",K5=1),'Maturity Rating'!$E$8,IF(K5="NA",K5,IF(D5="K",K5*'Maturity Rating'!$E$7,K5)))</f>
        <v>3</v>
      </c>
      <c r="M5" s="339"/>
      <c r="N5" s="339"/>
      <c r="O5" s="409"/>
      <c r="P5" s="27"/>
      <c r="Q5" s="229"/>
      <c r="S5" s="114">
        <f>VLOOKUP(G5,'Maturity Rating'!A$2:B$5,2,FALSE)</f>
        <v>3</v>
      </c>
      <c r="T5" s="114">
        <f>VLOOKUP(H5,'Maturity Rating'!A$8:B$11,2,FALSE)</f>
        <v>3</v>
      </c>
      <c r="U5" s="114">
        <f>VLOOKUP(I5,'Maturity Rating'!A$14:B$17,2,FALSE)</f>
        <v>3</v>
      </c>
      <c r="V5" s="114">
        <f>VLOOKUP(J5,'Maturity Rating'!A$20:B$23,2,FALSE)</f>
        <v>3</v>
      </c>
      <c r="W5" t="str">
        <f t="shared" ref="W5:W19" si="1">CONCATENATE(S5,T5,U5,V5)</f>
        <v>3333</v>
      </c>
    </row>
    <row r="6" spans="1:25" ht="45.75" customHeight="1" thickBot="1">
      <c r="A6" s="75">
        <v>19.3</v>
      </c>
      <c r="B6" s="347"/>
      <c r="C6" s="367"/>
      <c r="D6" s="259"/>
      <c r="E6" s="183" t="s">
        <v>94</v>
      </c>
      <c r="F6" s="259" t="s">
        <v>89</v>
      </c>
      <c r="G6" s="259" t="s">
        <v>127</v>
      </c>
      <c r="H6" s="259" t="s">
        <v>95</v>
      </c>
      <c r="I6" s="259" t="s">
        <v>91</v>
      </c>
      <c r="J6" s="259" t="s">
        <v>91</v>
      </c>
      <c r="K6" s="272">
        <f t="shared" si="0"/>
        <v>1</v>
      </c>
      <c r="L6" s="272">
        <f>IF(AND(D6="K",K6=1),'Maturity Rating'!$E$8,IF(K6="NA",K6,IF(D6="K",K6*'Maturity Rating'!$E$7,K6)))</f>
        <v>1</v>
      </c>
      <c r="M6" s="340"/>
      <c r="N6" s="340"/>
      <c r="O6" s="410"/>
      <c r="P6" s="27"/>
      <c r="Q6" s="229"/>
      <c r="S6" s="114">
        <f>VLOOKUP(G6,'Maturity Rating'!A$2:B$5,2,FALSE)</f>
        <v>1</v>
      </c>
      <c r="T6" s="114">
        <f>VLOOKUP(H6,'Maturity Rating'!A$8:B$11,2,FALSE)</f>
        <v>1</v>
      </c>
      <c r="U6" s="114" t="str">
        <f>VLOOKUP(I6,'Maturity Rating'!A$14:B$17,2,FALSE)</f>
        <v>NA</v>
      </c>
      <c r="V6" s="114" t="str">
        <f>VLOOKUP(J6,'Maturity Rating'!A$20:B$23,2,FALSE)</f>
        <v>NA</v>
      </c>
      <c r="W6" t="str">
        <f t="shared" si="1"/>
        <v>11NANA</v>
      </c>
    </row>
    <row r="7" spans="1:25" ht="51" customHeight="1">
      <c r="A7" s="36">
        <v>19.399999999999999</v>
      </c>
      <c r="B7" s="359" t="s">
        <v>736</v>
      </c>
      <c r="C7" s="368" t="s">
        <v>737</v>
      </c>
      <c r="D7" s="256" t="s">
        <v>87</v>
      </c>
      <c r="E7" s="54" t="s">
        <v>738</v>
      </c>
      <c r="F7" s="256" t="s">
        <v>89</v>
      </c>
      <c r="G7" s="257" t="s">
        <v>118</v>
      </c>
      <c r="H7" s="256" t="s">
        <v>100</v>
      </c>
      <c r="I7" s="256" t="s">
        <v>120</v>
      </c>
      <c r="J7" s="256" t="s">
        <v>129</v>
      </c>
      <c r="K7" s="271">
        <f t="shared" si="0"/>
        <v>3</v>
      </c>
      <c r="L7" s="271">
        <f>IF(AND(D7="K",K7=1),'Maturity Rating'!$E$8,IF(K7="NA",K7,IF(D7="K",K7*'Maturity Rating'!$E$7,K7)))</f>
        <v>3.5999999999999996</v>
      </c>
      <c r="M7" s="388">
        <f>IF(X7="NANANANANANA",K7,AVERAGE(L7:L9))</f>
        <v>2.5333333333333332</v>
      </c>
      <c r="N7" s="338">
        <f>IF(M7&lt;1.1,1,IF(M7="NA",M7,(MIN(5,M7/3*5))))</f>
        <v>4.2222222222222223</v>
      </c>
      <c r="O7" s="408" t="str">
        <f>IF(N7="NA",N7,VLOOKUP(Q7,'Maturity Rating'!G$4:H$8,2,FALSE))</f>
        <v>Repeatable</v>
      </c>
      <c r="P7" s="27"/>
      <c r="Q7" s="229">
        <f>IF(N7="NA",N7,ROUNDDOWN(N7,0))</f>
        <v>4</v>
      </c>
      <c r="S7" s="114">
        <f>VLOOKUP(G7,'Maturity Rating'!A$2:B$5,2,FALSE)</f>
        <v>3</v>
      </c>
      <c r="T7" s="114">
        <f>VLOOKUP(H7,'Maturity Rating'!A$8:B$11,2,FALSE)</f>
        <v>3</v>
      </c>
      <c r="U7" s="114">
        <f>VLOOKUP(I7,'Maturity Rating'!A$14:B$17,2,FALSE)</f>
        <v>3</v>
      </c>
      <c r="V7" s="114">
        <f>VLOOKUP(J7,'Maturity Rating'!A$20:B$23,2,FALSE)</f>
        <v>3</v>
      </c>
      <c r="W7" t="str">
        <f t="shared" si="1"/>
        <v>3333</v>
      </c>
      <c r="X7" s="255" t="str">
        <f>CONCATENATE(L7,L8,L9)</f>
        <v>3.613</v>
      </c>
    </row>
    <row r="8" spans="1:25" ht="30.75" customHeight="1">
      <c r="A8" s="74">
        <v>19.5</v>
      </c>
      <c r="B8" s="345"/>
      <c r="C8" s="365"/>
      <c r="D8" s="257"/>
      <c r="E8" s="182" t="s">
        <v>739</v>
      </c>
      <c r="F8" s="55" t="s">
        <v>105</v>
      </c>
      <c r="G8" s="257" t="s">
        <v>127</v>
      </c>
      <c r="H8" s="257" t="s">
        <v>95</v>
      </c>
      <c r="I8" s="257" t="s">
        <v>91</v>
      </c>
      <c r="J8" s="257" t="s">
        <v>102</v>
      </c>
      <c r="K8" s="271">
        <f t="shared" si="0"/>
        <v>1</v>
      </c>
      <c r="L8" s="273">
        <f>IF(AND(D8="K",K8=1),'Maturity Rating'!$E$8,IF(K8="NA",K8,IF(D8="K",K8*'Maturity Rating'!$E$7,K8)))</f>
        <v>1</v>
      </c>
      <c r="M8" s="389"/>
      <c r="N8" s="339"/>
      <c r="O8" s="409"/>
      <c r="P8" s="27"/>
      <c r="S8" s="114">
        <f>VLOOKUP(G8,'Maturity Rating'!A$2:B$5,2,FALSE)</f>
        <v>1</v>
      </c>
      <c r="T8" s="114">
        <f>VLOOKUP(H8,'Maturity Rating'!A$8:B$11,2,FALSE)</f>
        <v>1</v>
      </c>
      <c r="U8" s="114" t="str">
        <f>VLOOKUP(I8,'Maturity Rating'!A$14:B$17,2,FALSE)</f>
        <v>NA</v>
      </c>
      <c r="V8" s="114">
        <f>VLOOKUP(J8,'Maturity Rating'!A$20:B$23,2,FALSE)</f>
        <v>1</v>
      </c>
      <c r="W8" t="str">
        <f t="shared" si="1"/>
        <v>11NA1</v>
      </c>
    </row>
    <row r="9" spans="1:25" ht="29.5" thickBot="1">
      <c r="A9" s="75">
        <v>19.600000000000001</v>
      </c>
      <c r="B9" s="347"/>
      <c r="C9" s="367"/>
      <c r="D9" s="259"/>
      <c r="E9" s="183" t="s">
        <v>740</v>
      </c>
      <c r="F9" s="59" t="s">
        <v>105</v>
      </c>
      <c r="G9" s="259" t="s">
        <v>118</v>
      </c>
      <c r="H9" s="259" t="s">
        <v>100</v>
      </c>
      <c r="I9" s="259" t="s">
        <v>120</v>
      </c>
      <c r="J9" s="259" t="s">
        <v>129</v>
      </c>
      <c r="K9" s="272">
        <f t="shared" si="0"/>
        <v>3</v>
      </c>
      <c r="L9" s="272">
        <f>IF(AND(D9="K",K9=1),'Maturity Rating'!$E$8,IF(K9="NA",K9,IF(D9="K",K9*'Maturity Rating'!$E$7,K9)))</f>
        <v>3</v>
      </c>
      <c r="M9" s="390"/>
      <c r="N9" s="340"/>
      <c r="O9" s="410"/>
      <c r="P9" s="27"/>
      <c r="Q9" s="27"/>
      <c r="S9" s="114">
        <f>VLOOKUP(G9,'Maturity Rating'!A$2:B$5,2,FALSE)</f>
        <v>3</v>
      </c>
      <c r="T9" s="114">
        <f>VLOOKUP(H9,'Maturity Rating'!A$8:B$11,2,FALSE)</f>
        <v>3</v>
      </c>
      <c r="U9" s="114">
        <f>VLOOKUP(I9,'Maturity Rating'!A$14:B$17,2,FALSE)</f>
        <v>3</v>
      </c>
      <c r="V9" s="114">
        <f>VLOOKUP(J9,'Maturity Rating'!A$20:B$23,2,FALSE)</f>
        <v>3</v>
      </c>
      <c r="W9" t="str">
        <f t="shared" si="1"/>
        <v>3333</v>
      </c>
    </row>
    <row r="10" spans="1:25" ht="29">
      <c r="A10" s="36">
        <v>19.7</v>
      </c>
      <c r="B10" s="359" t="s">
        <v>741</v>
      </c>
      <c r="C10" s="368" t="s">
        <v>742</v>
      </c>
      <c r="D10" s="256" t="s">
        <v>87</v>
      </c>
      <c r="E10" s="54" t="s">
        <v>743</v>
      </c>
      <c r="F10" s="56" t="s">
        <v>105</v>
      </c>
      <c r="G10" s="263" t="s">
        <v>127</v>
      </c>
      <c r="H10" s="56" t="s">
        <v>95</v>
      </c>
      <c r="I10" s="256" t="s">
        <v>91</v>
      </c>
      <c r="J10" s="264" t="s">
        <v>102</v>
      </c>
      <c r="K10" s="271">
        <f t="shared" si="0"/>
        <v>1</v>
      </c>
      <c r="L10" s="271">
        <f>IF(AND(D10="K",K10=1),'Maturity Rating'!$E$8,IF(K10="NA",K10,IF(D10="K",K10*'Maturity Rating'!$E$7,K10)))</f>
        <v>0.8</v>
      </c>
      <c r="M10" s="388">
        <f>IF(X10="NANANANANA",K10,AVERAGE(L10:L14))</f>
        <v>1.21</v>
      </c>
      <c r="N10" s="338">
        <f>IF(M10&lt;1.1,1,IF(M10="NA",M10,(MIN(5,M10/3*5))))</f>
        <v>2.0166666666666666</v>
      </c>
      <c r="O10" s="408" t="str">
        <f>IF(N10="NA",N10,VLOOKUP(Q10,'Maturity Rating'!G$4:H$8,2,FALSE))</f>
        <v>Partial</v>
      </c>
      <c r="P10" s="27"/>
      <c r="Q10" s="229">
        <f>IF(N10="NA",N10,ROUNDDOWN(N10,0))</f>
        <v>2</v>
      </c>
      <c r="S10" s="114">
        <f>VLOOKUP(G10,'Maturity Rating'!A$2:B$5,2,FALSE)</f>
        <v>1</v>
      </c>
      <c r="T10" s="114">
        <f>VLOOKUP(H10,'Maturity Rating'!A$8:B$11,2,FALSE)</f>
        <v>1</v>
      </c>
      <c r="U10" s="114" t="str">
        <f>VLOOKUP(I10,'Maturity Rating'!A$14:B$17,2,FALSE)</f>
        <v>NA</v>
      </c>
      <c r="V10" s="114">
        <f>VLOOKUP(J10,'Maturity Rating'!A$20:B$23,2,FALSE)</f>
        <v>1</v>
      </c>
      <c r="W10" t="str">
        <f t="shared" si="1"/>
        <v>11NA1</v>
      </c>
      <c r="X10" s="255" t="str">
        <f>CONCATENATE(L10,L11,L12,L13,L14)</f>
        <v>0.81211.25</v>
      </c>
    </row>
    <row r="11" spans="1:25" ht="29">
      <c r="A11" s="74">
        <v>19.8</v>
      </c>
      <c r="B11" s="345"/>
      <c r="C11" s="365"/>
      <c r="D11" s="257"/>
      <c r="E11" s="182" t="s">
        <v>744</v>
      </c>
      <c r="F11" s="55" t="s">
        <v>105</v>
      </c>
      <c r="G11" s="257" t="s">
        <v>127</v>
      </c>
      <c r="H11" s="55" t="s">
        <v>95</v>
      </c>
      <c r="I11" s="55" t="s">
        <v>91</v>
      </c>
      <c r="J11" s="257" t="s">
        <v>102</v>
      </c>
      <c r="K11" s="271">
        <f t="shared" si="0"/>
        <v>1</v>
      </c>
      <c r="L11" s="273">
        <f>IF(AND(D11="K",K11=1),'Maturity Rating'!$E$8,IF(K11="NA",K11,IF(D11="K",K11*'Maturity Rating'!$E$7,K11)))</f>
        <v>1</v>
      </c>
      <c r="M11" s="389"/>
      <c r="N11" s="339"/>
      <c r="O11" s="409"/>
      <c r="P11" s="27"/>
      <c r="Q11" s="27"/>
      <c r="S11" s="114">
        <f>VLOOKUP(G11,'Maturity Rating'!A$2:B$5,2,FALSE)</f>
        <v>1</v>
      </c>
      <c r="T11" s="114">
        <f>VLOOKUP(H11,'Maturity Rating'!A$8:B$11,2,FALSE)</f>
        <v>1</v>
      </c>
      <c r="U11" s="114" t="str">
        <f>VLOOKUP(I11,'Maturity Rating'!A$14:B$17,2,FALSE)</f>
        <v>NA</v>
      </c>
      <c r="V11" s="114">
        <f>VLOOKUP(J11,'Maturity Rating'!A$20:B$23,2,FALSE)</f>
        <v>1</v>
      </c>
      <c r="W11" t="str">
        <f t="shared" si="1"/>
        <v>11NA1</v>
      </c>
    </row>
    <row r="12" spans="1:25" ht="27" customHeight="1">
      <c r="A12" s="74">
        <v>19.899999999999999</v>
      </c>
      <c r="B12" s="345"/>
      <c r="C12" s="365"/>
      <c r="D12" s="257"/>
      <c r="E12" s="182" t="s">
        <v>745</v>
      </c>
      <c r="F12" s="55" t="s">
        <v>105</v>
      </c>
      <c r="G12" s="257" t="s">
        <v>127</v>
      </c>
      <c r="H12" s="55" t="s">
        <v>100</v>
      </c>
      <c r="I12" s="55" t="s">
        <v>206</v>
      </c>
      <c r="J12" s="257" t="s">
        <v>129</v>
      </c>
      <c r="K12" s="271">
        <f t="shared" si="0"/>
        <v>2</v>
      </c>
      <c r="L12" s="273">
        <f>IF(AND(D12="K",K12=1),'Maturity Rating'!$E$8,IF(K12="NA",K12,IF(D12="K",K12*'Maturity Rating'!$E$7,K12)))</f>
        <v>2</v>
      </c>
      <c r="M12" s="389"/>
      <c r="N12" s="339"/>
      <c r="O12" s="409"/>
      <c r="P12" s="27"/>
      <c r="Q12" s="27"/>
      <c r="S12" s="114">
        <f>VLOOKUP(G12,'Maturity Rating'!A$2:B$5,2,FALSE)</f>
        <v>1</v>
      </c>
      <c r="T12" s="114">
        <f>VLOOKUP(H12,'Maturity Rating'!A$8:B$11,2,FALSE)</f>
        <v>3</v>
      </c>
      <c r="U12" s="114">
        <f>VLOOKUP(I12,'Maturity Rating'!A$14:B$17,2,FALSE)</f>
        <v>1</v>
      </c>
      <c r="V12" s="114">
        <f>VLOOKUP(J12,'Maturity Rating'!A$20:B$23,2,FALSE)</f>
        <v>3</v>
      </c>
      <c r="W12" t="str">
        <f t="shared" si="1"/>
        <v>1313</v>
      </c>
    </row>
    <row r="13" spans="1:25" ht="31.5" customHeight="1">
      <c r="A13" s="74" t="s">
        <v>746</v>
      </c>
      <c r="B13" s="345"/>
      <c r="C13" s="365"/>
      <c r="D13" s="257"/>
      <c r="E13" s="182" t="s">
        <v>747</v>
      </c>
      <c r="F13" s="55" t="s">
        <v>89</v>
      </c>
      <c r="G13" s="257" t="s">
        <v>91</v>
      </c>
      <c r="H13" s="55" t="s">
        <v>91</v>
      </c>
      <c r="I13" s="55" t="s">
        <v>206</v>
      </c>
      <c r="J13" s="257" t="s">
        <v>91</v>
      </c>
      <c r="K13" s="271">
        <f t="shared" si="0"/>
        <v>1</v>
      </c>
      <c r="L13" s="273">
        <f>IF(AND(D13="K",K13=1),'Maturity Rating'!$E$8,IF(K13="NA",K13,IF(D13="K",K13*'Maturity Rating'!$E$7,K13)))</f>
        <v>1</v>
      </c>
      <c r="M13" s="389"/>
      <c r="N13" s="339"/>
      <c r="O13" s="409"/>
      <c r="P13" s="27"/>
      <c r="Q13" s="27"/>
      <c r="S13" s="114" t="str">
        <f>VLOOKUP(G13,'Maturity Rating'!A$2:B$5,2,FALSE)</f>
        <v>NA</v>
      </c>
      <c r="T13" s="114" t="str">
        <f>VLOOKUP(H13,'Maturity Rating'!A$8:B$11,2,FALSE)</f>
        <v>NA</v>
      </c>
      <c r="U13" s="114">
        <f>VLOOKUP(I13,'Maturity Rating'!A$14:B$17,2,FALSE)</f>
        <v>1</v>
      </c>
      <c r="V13" s="114" t="str">
        <f>VLOOKUP(J13,'Maturity Rating'!A$20:B$23,2,FALSE)</f>
        <v>NA</v>
      </c>
      <c r="W13" t="str">
        <f t="shared" si="1"/>
        <v>NANA1NA</v>
      </c>
    </row>
    <row r="14" spans="1:25" ht="30" customHeight="1" thickBot="1">
      <c r="A14" s="75">
        <v>19.11</v>
      </c>
      <c r="B14" s="347"/>
      <c r="C14" s="367"/>
      <c r="D14" s="259"/>
      <c r="E14" s="282" t="s">
        <v>748</v>
      </c>
      <c r="F14" s="57" t="s">
        <v>89</v>
      </c>
      <c r="G14" s="259" t="s">
        <v>127</v>
      </c>
      <c r="H14" s="59" t="s">
        <v>125</v>
      </c>
      <c r="I14" s="59" t="s">
        <v>206</v>
      </c>
      <c r="J14" s="263" t="s">
        <v>102</v>
      </c>
      <c r="K14" s="272">
        <f t="shared" si="0"/>
        <v>1.25</v>
      </c>
      <c r="L14" s="272">
        <f>IF(AND(D14="K",K14=1),'Maturity Rating'!$E$8,IF(K14="NA",K14,IF(D14="K",K14*'Maturity Rating'!$E$7,K14)))</f>
        <v>1.25</v>
      </c>
      <c r="M14" s="390"/>
      <c r="N14" s="340"/>
      <c r="O14" s="410"/>
      <c r="P14" s="27"/>
      <c r="Q14" s="229"/>
      <c r="S14" s="114">
        <f>VLOOKUP(G14,'Maturity Rating'!A$2:B$5,2,FALSE)</f>
        <v>1</v>
      </c>
      <c r="T14" s="114">
        <f>VLOOKUP(H14,'Maturity Rating'!A$8:B$11,2,FALSE)</f>
        <v>2</v>
      </c>
      <c r="U14" s="114">
        <f>VLOOKUP(I14,'Maturity Rating'!A$14:B$17,2,FALSE)</f>
        <v>1</v>
      </c>
      <c r="V14" s="114">
        <f>VLOOKUP(J14,'Maturity Rating'!A$20:B$23,2,FALSE)</f>
        <v>1</v>
      </c>
      <c r="W14" t="str">
        <f t="shared" si="1"/>
        <v>1211</v>
      </c>
    </row>
    <row r="15" spans="1:25" ht="30" customHeight="1">
      <c r="A15" s="36">
        <v>19.12</v>
      </c>
      <c r="B15" s="411" t="s">
        <v>749</v>
      </c>
      <c r="C15" s="414" t="s">
        <v>750</v>
      </c>
      <c r="D15" s="283"/>
      <c r="E15" s="148" t="s">
        <v>751</v>
      </c>
      <c r="F15" s="138" t="s">
        <v>105</v>
      </c>
      <c r="G15" s="263" t="s">
        <v>127</v>
      </c>
      <c r="H15" s="56" t="s">
        <v>95</v>
      </c>
      <c r="I15" s="56" t="s">
        <v>206</v>
      </c>
      <c r="J15" s="56" t="s">
        <v>102</v>
      </c>
      <c r="K15" s="271">
        <f t="shared" si="0"/>
        <v>1</v>
      </c>
      <c r="L15" s="271">
        <f>IF(AND(D15="K",K15=1),'Maturity Rating'!$E$8,IF(K15="NA",K15,IF(D15="K",K15*'Maturity Rating'!$E$7,K15)))</f>
        <v>1</v>
      </c>
      <c r="M15" s="388">
        <f>IF(X15="NANANANANA",K15,AVERAGE(L15:L19))</f>
        <v>1.6</v>
      </c>
      <c r="N15" s="338">
        <f>IF(M15&lt;1.1,1,IF(M15="NA",M15,(MIN(5,M15/3*5))))</f>
        <v>2.6666666666666665</v>
      </c>
      <c r="O15" s="408" t="str">
        <f>IF(N15="NA",N15,VLOOKUP(Q15,'Maturity Rating'!G$4:H$8,2,FALSE))</f>
        <v>Partial</v>
      </c>
      <c r="P15" s="27"/>
      <c r="Q15" s="229">
        <f>IF(N15="NA",N15,ROUNDDOWN(N15,0))</f>
        <v>2</v>
      </c>
      <c r="S15" s="114">
        <f>VLOOKUP(G15,'Maturity Rating'!A$2:B$5,2,FALSE)</f>
        <v>1</v>
      </c>
      <c r="T15" s="114">
        <f>VLOOKUP(H15,'Maturity Rating'!A$8:B$11,2,FALSE)</f>
        <v>1</v>
      </c>
      <c r="U15" s="114">
        <f>VLOOKUP(I15,'Maturity Rating'!A$14:B$17,2,FALSE)</f>
        <v>1</v>
      </c>
      <c r="V15" s="114">
        <f>VLOOKUP(J15,'Maturity Rating'!A$20:B$23,2,FALSE)</f>
        <v>1</v>
      </c>
      <c r="W15" t="str">
        <f t="shared" si="1"/>
        <v>1111</v>
      </c>
      <c r="X15" s="255" t="str">
        <f>CONCATENATE(L15,L16,L17,L18,L19)</f>
        <v>111.51.53</v>
      </c>
    </row>
    <row r="16" spans="1:25" ht="29">
      <c r="A16" s="74">
        <v>19.13</v>
      </c>
      <c r="B16" s="412"/>
      <c r="C16" s="415"/>
      <c r="D16" s="284"/>
      <c r="E16" s="72" t="s">
        <v>752</v>
      </c>
      <c r="F16" s="284" t="s">
        <v>105</v>
      </c>
      <c r="G16" s="257" t="s">
        <v>127</v>
      </c>
      <c r="H16" s="55" t="s">
        <v>95</v>
      </c>
      <c r="I16" s="55" t="s">
        <v>206</v>
      </c>
      <c r="J16" s="55" t="s">
        <v>102</v>
      </c>
      <c r="K16" s="271">
        <f t="shared" si="0"/>
        <v>1</v>
      </c>
      <c r="L16" s="273">
        <f>IF(AND(D16="K",K16=1),'Maturity Rating'!$E$8,IF(K16="NA",K16,IF(D16="K",K16*'Maturity Rating'!$E$7,K16)))</f>
        <v>1</v>
      </c>
      <c r="M16" s="389"/>
      <c r="N16" s="339"/>
      <c r="O16" s="409"/>
      <c r="P16" s="27"/>
      <c r="Q16" s="27"/>
      <c r="S16" s="114">
        <f>VLOOKUP(G16,'Maturity Rating'!A$2:B$5,2,FALSE)</f>
        <v>1</v>
      </c>
      <c r="T16" s="114">
        <f>VLOOKUP(H16,'Maturity Rating'!A$8:B$11,2,FALSE)</f>
        <v>1</v>
      </c>
      <c r="U16" s="114">
        <f>VLOOKUP(I16,'Maturity Rating'!A$14:B$17,2,FALSE)</f>
        <v>1</v>
      </c>
      <c r="V16" s="114">
        <f>VLOOKUP(J16,'Maturity Rating'!A$20:B$23,2,FALSE)</f>
        <v>1</v>
      </c>
      <c r="W16" t="str">
        <f t="shared" si="1"/>
        <v>1111</v>
      </c>
    </row>
    <row r="17" spans="1:23" ht="29">
      <c r="A17" s="74">
        <v>19.14</v>
      </c>
      <c r="B17" s="412"/>
      <c r="C17" s="415"/>
      <c r="D17" s="284"/>
      <c r="E17" s="72" t="s">
        <v>753</v>
      </c>
      <c r="F17" s="284" t="s">
        <v>105</v>
      </c>
      <c r="G17" s="257" t="s">
        <v>127</v>
      </c>
      <c r="H17" s="55" t="s">
        <v>100</v>
      </c>
      <c r="I17" s="55" t="s">
        <v>206</v>
      </c>
      <c r="J17" s="55" t="s">
        <v>102</v>
      </c>
      <c r="K17" s="271">
        <f t="shared" si="0"/>
        <v>1.5</v>
      </c>
      <c r="L17" s="273">
        <f>IF(AND(D17="K",K17=1),'Maturity Rating'!$E$8,IF(K17="NA",K17,IF(D17="K",K17*'Maturity Rating'!$E$7,K17)))</f>
        <v>1.5</v>
      </c>
      <c r="M17" s="389"/>
      <c r="N17" s="339"/>
      <c r="O17" s="409"/>
      <c r="S17" s="114">
        <f>VLOOKUP(G17,'Maturity Rating'!A$2:B$5,2,FALSE)</f>
        <v>1</v>
      </c>
      <c r="T17" s="114">
        <f>VLOOKUP(H17,'Maturity Rating'!A$8:B$11,2,FALSE)</f>
        <v>3</v>
      </c>
      <c r="U17" s="114">
        <f>VLOOKUP(I17,'Maturity Rating'!A$14:B$17,2,FALSE)</f>
        <v>1</v>
      </c>
      <c r="V17" s="114">
        <f>VLOOKUP(J17,'Maturity Rating'!A$20:B$23,2,FALSE)</f>
        <v>1</v>
      </c>
      <c r="W17" t="str">
        <f t="shared" si="1"/>
        <v>1311</v>
      </c>
    </row>
    <row r="18" spans="1:23" ht="29">
      <c r="A18" s="74">
        <v>19.149999999999999</v>
      </c>
      <c r="B18" s="412"/>
      <c r="C18" s="415"/>
      <c r="D18" s="284" t="s">
        <v>87</v>
      </c>
      <c r="E18" s="139" t="s">
        <v>754</v>
      </c>
      <c r="F18" s="284" t="s">
        <v>105</v>
      </c>
      <c r="G18" s="257" t="s">
        <v>127</v>
      </c>
      <c r="H18" s="55" t="s">
        <v>125</v>
      </c>
      <c r="I18" s="55" t="s">
        <v>206</v>
      </c>
      <c r="J18" s="55" t="s">
        <v>102</v>
      </c>
      <c r="K18" s="271">
        <f t="shared" si="0"/>
        <v>1.25</v>
      </c>
      <c r="L18" s="273">
        <f>IF(AND(D18="K",K18=1),'Maturity Rating'!$E$8,IF(K18="NA",K18,IF(D18="K",K18*'Maturity Rating'!$E$7,K18)))</f>
        <v>1.5</v>
      </c>
      <c r="M18" s="389"/>
      <c r="N18" s="339"/>
      <c r="O18" s="409"/>
      <c r="S18" s="114">
        <f>VLOOKUP(G18,'Maturity Rating'!A$2:B$5,2,FALSE)</f>
        <v>1</v>
      </c>
      <c r="T18" s="114">
        <f>VLOOKUP(H18,'Maturity Rating'!A$8:B$11,2,FALSE)</f>
        <v>2</v>
      </c>
      <c r="U18" s="114">
        <f>VLOOKUP(I18,'Maturity Rating'!A$14:B$17,2,FALSE)</f>
        <v>1</v>
      </c>
      <c r="V18" s="114">
        <f>VLOOKUP(J18,'Maturity Rating'!A$20:B$23,2,FALSE)</f>
        <v>1</v>
      </c>
      <c r="W18" t="str">
        <f t="shared" si="1"/>
        <v>1211</v>
      </c>
    </row>
    <row r="19" spans="1:23" ht="29.5" thickBot="1">
      <c r="A19" s="75">
        <v>19.16</v>
      </c>
      <c r="B19" s="413"/>
      <c r="C19" s="416"/>
      <c r="D19" s="285"/>
      <c r="E19" s="140" t="s">
        <v>755</v>
      </c>
      <c r="F19" s="285" t="s">
        <v>105</v>
      </c>
      <c r="G19" s="259" t="s">
        <v>118</v>
      </c>
      <c r="H19" s="59" t="s">
        <v>100</v>
      </c>
      <c r="I19" s="59" t="s">
        <v>120</v>
      </c>
      <c r="J19" s="59" t="s">
        <v>129</v>
      </c>
      <c r="K19" s="272">
        <f t="shared" si="0"/>
        <v>3</v>
      </c>
      <c r="L19" s="272">
        <f>IF(AND(D19="K",K19=1),'Maturity Rating'!$E$8,IF(K19="NA",K19,IF(D19="K",K19*'Maturity Rating'!$E$7,K19)))</f>
        <v>3</v>
      </c>
      <c r="M19" s="390"/>
      <c r="N19" s="340"/>
      <c r="O19" s="410"/>
      <c r="S19" s="114">
        <f>VLOOKUP(G19,'Maturity Rating'!A$2:B$5,2,FALSE)</f>
        <v>3</v>
      </c>
      <c r="T19" s="114">
        <f>VLOOKUP(H19,'Maturity Rating'!A$8:B$11,2,FALSE)</f>
        <v>3</v>
      </c>
      <c r="U19" s="114">
        <f>VLOOKUP(I19,'Maturity Rating'!A$14:B$17,2,FALSE)</f>
        <v>3</v>
      </c>
      <c r="V19" s="114">
        <f>VLOOKUP(J19,'Maturity Rating'!A$20:B$23,2,FALSE)</f>
        <v>3</v>
      </c>
      <c r="W19" t="str">
        <f t="shared" si="1"/>
        <v>3333</v>
      </c>
    </row>
  </sheetData>
  <mergeCells count="21">
    <mergeCell ref="O4:O6"/>
    <mergeCell ref="B7:B9"/>
    <mergeCell ref="C7:C9"/>
    <mergeCell ref="M7:M9"/>
    <mergeCell ref="N7:N9"/>
    <mergeCell ref="O7:O9"/>
    <mergeCell ref="O10:O14"/>
    <mergeCell ref="B15:B19"/>
    <mergeCell ref="C15:C19"/>
    <mergeCell ref="M15:M19"/>
    <mergeCell ref="N15:N19"/>
    <mergeCell ref="O15:O19"/>
    <mergeCell ref="C1:D1"/>
    <mergeCell ref="B10:B14"/>
    <mergeCell ref="C10:C14"/>
    <mergeCell ref="M10:M14"/>
    <mergeCell ref="N10:N14"/>
    <mergeCell ref="B4:B6"/>
    <mergeCell ref="C4:C6"/>
    <mergeCell ref="M4:M6"/>
    <mergeCell ref="N4:N6"/>
  </mergeCells>
  <pageMargins left="0.7" right="0.7" top="0.75" bottom="0.75" header="0.3" footer="0.3"/>
  <pageSetup paperSize="9" orientation="portrait" r:id="rId1"/>
  <ignoredErrors>
    <ignoredError sqref="E1:F1 K5:O19 K4:L4 N4:O4" evalError="1"/>
  </ignoredErrors>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1600-000000000000}">
          <x14:formula1>
            <xm:f>'Maturity Rating'!$A$2:$A$5</xm:f>
          </x14:formula1>
          <xm:sqref>G4:G19</xm:sqref>
        </x14:dataValidation>
        <x14:dataValidation type="list" allowBlank="1" showInputMessage="1" showErrorMessage="1" xr:uid="{00000000-0002-0000-1600-000001000000}">
          <x14:formula1>
            <xm:f>'Maturity Rating'!$A$14:$A$17</xm:f>
          </x14:formula1>
          <xm:sqref>I4:I19</xm:sqref>
        </x14:dataValidation>
        <x14:dataValidation type="list" allowBlank="1" showInputMessage="1" showErrorMessage="1" xr:uid="{00000000-0002-0000-1600-000002000000}">
          <x14:formula1>
            <xm:f>'Maturity Rating'!$A$20:$A$23</xm:f>
          </x14:formula1>
          <xm:sqref>J4:J19</xm:sqref>
        </x14:dataValidation>
        <x14:dataValidation type="list" allowBlank="1" showInputMessage="1" showErrorMessage="1" xr:uid="{00000000-0002-0000-1600-000003000000}">
          <x14:formula1>
            <xm:f>'Maturity Rating'!$A$8:$A$11</xm:f>
          </x14:formula1>
          <xm:sqref>H4:H19</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39FE0C-A162-4848-A249-909ADBD5BED0}">
  <dimension ref="A1:I62"/>
  <sheetViews>
    <sheetView zoomScale="40" zoomScaleNormal="110" workbookViewId="0">
      <selection activeCell="D4" sqref="D4"/>
    </sheetView>
  </sheetViews>
  <sheetFormatPr defaultColWidth="9.08984375" defaultRowHeight="14.5"/>
  <cols>
    <col min="1" max="1" width="9.08984375" style="27"/>
    <col min="2" max="2" width="15.54296875" style="228" customWidth="1"/>
    <col min="3" max="3" width="17.453125" style="228" bestFit="1" customWidth="1"/>
    <col min="4" max="4" width="13.453125" style="228" bestFit="1" customWidth="1"/>
    <col min="5" max="5" width="45.453125" style="228" customWidth="1"/>
    <col min="6" max="6" width="13" style="27" bestFit="1" customWidth="1"/>
    <col min="7" max="7" width="46.54296875" style="228" bestFit="1" customWidth="1"/>
    <col min="8" max="8" width="45.08984375" style="228" customWidth="1"/>
    <col min="9" max="9" width="33.81640625" style="228" customWidth="1"/>
    <col min="10" max="16384" width="9.08984375" style="228"/>
  </cols>
  <sheetData>
    <row r="1" spans="1:9" ht="29">
      <c r="A1" s="287" t="s">
        <v>784</v>
      </c>
      <c r="B1" s="287" t="s">
        <v>785</v>
      </c>
      <c r="C1" s="287" t="s">
        <v>786</v>
      </c>
      <c r="D1" s="287" t="s">
        <v>787</v>
      </c>
      <c r="E1" s="287" t="s">
        <v>788</v>
      </c>
      <c r="F1" s="287" t="s">
        <v>789</v>
      </c>
      <c r="G1" s="287" t="s">
        <v>855</v>
      </c>
      <c r="H1" s="287" t="s">
        <v>790</v>
      </c>
      <c r="I1" s="290" t="s">
        <v>980</v>
      </c>
    </row>
    <row r="2" spans="1:9" ht="304.5">
      <c r="A2" s="114">
        <v>1</v>
      </c>
      <c r="B2" s="114" t="s">
        <v>791</v>
      </c>
      <c r="C2" s="114" t="s">
        <v>47</v>
      </c>
      <c r="D2" s="114"/>
      <c r="E2" s="266" t="s">
        <v>856</v>
      </c>
      <c r="F2" s="114" t="s">
        <v>792</v>
      </c>
      <c r="G2" s="1" t="s">
        <v>857</v>
      </c>
      <c r="H2" s="266" t="s">
        <v>858</v>
      </c>
      <c r="I2" s="291"/>
    </row>
    <row r="3" spans="1:9" ht="174">
      <c r="A3" s="114">
        <v>2</v>
      </c>
      <c r="B3" s="114" t="s">
        <v>791</v>
      </c>
      <c r="C3" s="114" t="s">
        <v>47</v>
      </c>
      <c r="D3" s="114"/>
      <c r="E3" s="266" t="s">
        <v>859</v>
      </c>
      <c r="F3" s="114" t="s">
        <v>795</v>
      </c>
      <c r="G3" s="1" t="s">
        <v>793</v>
      </c>
      <c r="H3" s="266" t="s">
        <v>794</v>
      </c>
      <c r="I3" s="291"/>
    </row>
    <row r="4" spans="1:9" ht="29">
      <c r="A4" s="114">
        <v>3</v>
      </c>
      <c r="B4" s="114" t="s">
        <v>791</v>
      </c>
      <c r="C4" s="114" t="s">
        <v>47</v>
      </c>
      <c r="D4" s="114">
        <v>1.1100000000000001</v>
      </c>
      <c r="E4" s="266" t="s">
        <v>860</v>
      </c>
      <c r="F4" s="114" t="s">
        <v>825</v>
      </c>
      <c r="G4" s="1" t="s">
        <v>949</v>
      </c>
      <c r="H4" s="266" t="s">
        <v>861</v>
      </c>
      <c r="I4" s="291"/>
    </row>
    <row r="5" spans="1:9" ht="58">
      <c r="A5" s="114">
        <v>4</v>
      </c>
      <c r="B5" s="114" t="s">
        <v>791</v>
      </c>
      <c r="C5" s="114" t="s">
        <v>47</v>
      </c>
      <c r="D5" s="114">
        <v>1.7</v>
      </c>
      <c r="E5" s="266" t="s">
        <v>862</v>
      </c>
      <c r="F5" s="114" t="s">
        <v>795</v>
      </c>
      <c r="G5" s="1" t="s">
        <v>849</v>
      </c>
      <c r="H5" s="266" t="s">
        <v>863</v>
      </c>
      <c r="I5" s="291"/>
    </row>
    <row r="6" spans="1:9" ht="43.5">
      <c r="A6" s="114">
        <v>5</v>
      </c>
      <c r="B6" s="114" t="s">
        <v>811</v>
      </c>
      <c r="C6" s="114" t="s">
        <v>47</v>
      </c>
      <c r="D6" s="114" t="s">
        <v>850</v>
      </c>
      <c r="E6" s="266" t="s">
        <v>851</v>
      </c>
      <c r="F6" s="114" t="s">
        <v>792</v>
      </c>
      <c r="G6" s="1" t="s">
        <v>864</v>
      </c>
      <c r="H6" s="266" t="s">
        <v>852</v>
      </c>
      <c r="I6" s="291"/>
    </row>
    <row r="7" spans="1:9" ht="58">
      <c r="A7" s="114">
        <v>6</v>
      </c>
      <c r="B7" s="114" t="s">
        <v>791</v>
      </c>
      <c r="C7" s="114" t="s">
        <v>47</v>
      </c>
      <c r="D7" s="114">
        <v>1.1200000000000001</v>
      </c>
      <c r="E7" s="266" t="s">
        <v>865</v>
      </c>
      <c r="F7" s="114" t="s">
        <v>795</v>
      </c>
      <c r="G7" s="1" t="s">
        <v>866</v>
      </c>
      <c r="H7" s="266" t="s">
        <v>867</v>
      </c>
      <c r="I7" s="291"/>
    </row>
    <row r="8" spans="1:9" ht="43.5">
      <c r="A8" s="114">
        <v>7</v>
      </c>
      <c r="B8" s="114" t="s">
        <v>791</v>
      </c>
      <c r="C8" s="284" t="s">
        <v>48</v>
      </c>
      <c r="D8" s="114">
        <v>2.8</v>
      </c>
      <c r="E8" s="286" t="s">
        <v>868</v>
      </c>
      <c r="F8" s="114" t="s">
        <v>795</v>
      </c>
      <c r="G8" s="1" t="s">
        <v>869</v>
      </c>
      <c r="H8" s="266" t="s">
        <v>870</v>
      </c>
      <c r="I8" s="291"/>
    </row>
    <row r="9" spans="1:9" ht="43.5">
      <c r="A9" s="114">
        <v>8</v>
      </c>
      <c r="B9" s="114" t="s">
        <v>791</v>
      </c>
      <c r="C9" s="284" t="s">
        <v>48</v>
      </c>
      <c r="D9" s="39">
        <v>2.1</v>
      </c>
      <c r="E9" s="286" t="s">
        <v>950</v>
      </c>
      <c r="F9" s="114" t="s">
        <v>795</v>
      </c>
      <c r="G9" s="1" t="s">
        <v>951</v>
      </c>
      <c r="H9" s="266" t="s">
        <v>952</v>
      </c>
      <c r="I9" s="291"/>
    </row>
    <row r="10" spans="1:9" ht="43.5">
      <c r="A10" s="114">
        <v>9</v>
      </c>
      <c r="B10" s="114" t="s">
        <v>791</v>
      </c>
      <c r="C10" s="284" t="s">
        <v>48</v>
      </c>
      <c r="D10" s="39">
        <v>2.2599999999999998</v>
      </c>
      <c r="E10" s="286" t="s">
        <v>953</v>
      </c>
      <c r="F10" s="114" t="s">
        <v>792</v>
      </c>
      <c r="G10" s="1" t="s">
        <v>954</v>
      </c>
      <c r="H10" s="266" t="s">
        <v>955</v>
      </c>
      <c r="I10" s="291"/>
    </row>
    <row r="11" spans="1:9" ht="43.5">
      <c r="A11" s="114">
        <v>10</v>
      </c>
      <c r="B11" s="114" t="s">
        <v>791</v>
      </c>
      <c r="C11" s="284" t="s">
        <v>49</v>
      </c>
      <c r="D11" s="288">
        <v>3.6</v>
      </c>
      <c r="E11" s="286" t="s">
        <v>871</v>
      </c>
      <c r="F11" s="114" t="s">
        <v>792</v>
      </c>
      <c r="G11" s="1" t="s">
        <v>872</v>
      </c>
      <c r="H11" s="266" t="s">
        <v>873</v>
      </c>
      <c r="I11" s="291"/>
    </row>
    <row r="12" spans="1:9" ht="43.5">
      <c r="A12" s="114">
        <v>11</v>
      </c>
      <c r="B12" s="114" t="s">
        <v>791</v>
      </c>
      <c r="C12" s="284" t="s">
        <v>49</v>
      </c>
      <c r="D12" s="39">
        <v>3.15</v>
      </c>
      <c r="E12" s="28" t="s">
        <v>874</v>
      </c>
      <c r="F12" s="114" t="s">
        <v>825</v>
      </c>
      <c r="G12" s="1" t="s">
        <v>875</v>
      </c>
      <c r="H12" s="266" t="s">
        <v>876</v>
      </c>
      <c r="I12" s="291"/>
    </row>
    <row r="13" spans="1:9" ht="43.5">
      <c r="A13" s="114">
        <v>12</v>
      </c>
      <c r="B13" s="114" t="s">
        <v>791</v>
      </c>
      <c r="C13" s="284" t="s">
        <v>49</v>
      </c>
      <c r="D13" s="39">
        <v>3.23</v>
      </c>
      <c r="E13" s="286" t="s">
        <v>877</v>
      </c>
      <c r="F13" s="114" t="s">
        <v>825</v>
      </c>
      <c r="G13" s="1" t="s">
        <v>878</v>
      </c>
      <c r="H13" s="266" t="s">
        <v>879</v>
      </c>
      <c r="I13" s="291"/>
    </row>
    <row r="14" spans="1:9" ht="87">
      <c r="A14" s="114">
        <v>13</v>
      </c>
      <c r="B14" s="114" t="s">
        <v>800</v>
      </c>
      <c r="C14" s="284" t="s">
        <v>50</v>
      </c>
      <c r="D14" s="288" t="s">
        <v>880</v>
      </c>
      <c r="E14" s="266" t="s">
        <v>801</v>
      </c>
      <c r="F14" s="114" t="s">
        <v>795</v>
      </c>
      <c r="G14" s="1" t="s">
        <v>956</v>
      </c>
      <c r="H14" s="266" t="s">
        <v>802</v>
      </c>
      <c r="I14" s="291"/>
    </row>
    <row r="15" spans="1:9" ht="29">
      <c r="A15" s="114">
        <v>14</v>
      </c>
      <c r="B15" s="257" t="s">
        <v>791</v>
      </c>
      <c r="C15" s="257" t="s">
        <v>881</v>
      </c>
      <c r="D15" s="273">
        <v>4.0999999999999996</v>
      </c>
      <c r="E15" s="182" t="s">
        <v>882</v>
      </c>
      <c r="F15" s="257" t="s">
        <v>29</v>
      </c>
      <c r="G15" s="1" t="s">
        <v>938</v>
      </c>
      <c r="H15" s="266" t="s">
        <v>883</v>
      </c>
      <c r="I15" s="291"/>
    </row>
    <row r="16" spans="1:9" ht="43.5">
      <c r="A16" s="114">
        <v>15</v>
      </c>
      <c r="B16" s="257" t="s">
        <v>791</v>
      </c>
      <c r="C16" s="257" t="s">
        <v>881</v>
      </c>
      <c r="D16" s="257">
        <v>4.1100000000000003</v>
      </c>
      <c r="E16" s="182" t="s">
        <v>884</v>
      </c>
      <c r="F16" s="257" t="s">
        <v>29</v>
      </c>
      <c r="G16" s="1" t="s">
        <v>957</v>
      </c>
      <c r="H16" s="266" t="s">
        <v>885</v>
      </c>
      <c r="I16" s="291"/>
    </row>
    <row r="17" spans="1:9" ht="29">
      <c r="A17" s="114">
        <v>16</v>
      </c>
      <c r="B17" s="257" t="s">
        <v>791</v>
      </c>
      <c r="C17" s="257" t="s">
        <v>881</v>
      </c>
      <c r="D17" s="257">
        <v>4.4000000000000004</v>
      </c>
      <c r="E17" s="182" t="s">
        <v>886</v>
      </c>
      <c r="F17" s="257" t="s">
        <v>29</v>
      </c>
      <c r="G17" s="1" t="s">
        <v>958</v>
      </c>
      <c r="H17" s="266" t="s">
        <v>887</v>
      </c>
      <c r="I17" s="291"/>
    </row>
    <row r="18" spans="1:9" ht="29">
      <c r="A18" s="114">
        <v>17</v>
      </c>
      <c r="B18" s="257" t="s">
        <v>791</v>
      </c>
      <c r="C18" s="257" t="s">
        <v>50</v>
      </c>
      <c r="D18" s="257">
        <v>4.1500000000000004</v>
      </c>
      <c r="E18" s="182" t="s">
        <v>959</v>
      </c>
      <c r="F18" s="114" t="s">
        <v>29</v>
      </c>
      <c r="G18" s="1" t="s">
        <v>939</v>
      </c>
      <c r="H18" s="266" t="s">
        <v>888</v>
      </c>
      <c r="I18" s="291"/>
    </row>
    <row r="19" spans="1:9" ht="58">
      <c r="A19" s="114">
        <v>18</v>
      </c>
      <c r="B19" s="114" t="s">
        <v>791</v>
      </c>
      <c r="C19" s="257" t="s">
        <v>50</v>
      </c>
      <c r="D19" s="39">
        <v>4.2</v>
      </c>
      <c r="E19" s="266" t="s">
        <v>889</v>
      </c>
      <c r="F19" s="114" t="s">
        <v>795</v>
      </c>
      <c r="G19" s="1" t="s">
        <v>828</v>
      </c>
      <c r="H19" s="266" t="s">
        <v>829</v>
      </c>
      <c r="I19" s="291"/>
    </row>
    <row r="20" spans="1:9" ht="43.5">
      <c r="A20" s="114">
        <v>19</v>
      </c>
      <c r="B20" s="114" t="s">
        <v>791</v>
      </c>
      <c r="C20" s="257" t="s">
        <v>50</v>
      </c>
      <c r="D20" s="114">
        <v>4.12</v>
      </c>
      <c r="E20" s="266" t="s">
        <v>830</v>
      </c>
      <c r="F20" s="114" t="s">
        <v>825</v>
      </c>
      <c r="G20" s="1" t="s">
        <v>831</v>
      </c>
      <c r="H20" s="266" t="s">
        <v>832</v>
      </c>
      <c r="I20" s="291"/>
    </row>
    <row r="21" spans="1:9" ht="43.5">
      <c r="A21" s="114">
        <v>20</v>
      </c>
      <c r="B21" s="114" t="s">
        <v>791</v>
      </c>
      <c r="C21" s="257" t="s">
        <v>50</v>
      </c>
      <c r="D21" s="257">
        <v>4.17</v>
      </c>
      <c r="E21" s="266" t="s">
        <v>833</v>
      </c>
      <c r="F21" s="114" t="s">
        <v>29</v>
      </c>
      <c r="G21" s="1" t="s">
        <v>834</v>
      </c>
      <c r="H21" s="266" t="s">
        <v>835</v>
      </c>
      <c r="I21" s="291"/>
    </row>
    <row r="22" spans="1:9" ht="43.5">
      <c r="A22" s="114">
        <v>21</v>
      </c>
      <c r="B22" s="257" t="s">
        <v>791</v>
      </c>
      <c r="C22" s="257" t="s">
        <v>881</v>
      </c>
      <c r="D22" s="257">
        <v>4.1900000000000004</v>
      </c>
      <c r="E22" s="182" t="s">
        <v>890</v>
      </c>
      <c r="F22" s="257" t="s">
        <v>26</v>
      </c>
      <c r="G22" s="1" t="s">
        <v>960</v>
      </c>
      <c r="H22" s="266" t="s">
        <v>891</v>
      </c>
      <c r="I22" s="291"/>
    </row>
    <row r="23" spans="1:9" ht="43.5">
      <c r="A23" s="114">
        <v>22</v>
      </c>
      <c r="B23" s="114" t="s">
        <v>800</v>
      </c>
      <c r="C23" s="257" t="s">
        <v>52</v>
      </c>
      <c r="D23" s="114">
        <v>6.8</v>
      </c>
      <c r="E23" s="266" t="s">
        <v>853</v>
      </c>
      <c r="F23" s="114" t="s">
        <v>792</v>
      </c>
      <c r="G23" s="1" t="s">
        <v>892</v>
      </c>
      <c r="H23" s="266" t="s">
        <v>854</v>
      </c>
      <c r="I23" s="291"/>
    </row>
    <row r="24" spans="1:9" ht="72.5">
      <c r="A24" s="114">
        <v>23</v>
      </c>
      <c r="B24" s="114" t="s">
        <v>791</v>
      </c>
      <c r="C24" s="257" t="s">
        <v>60</v>
      </c>
      <c r="D24" s="114">
        <v>16.11</v>
      </c>
      <c r="E24" s="292" t="s">
        <v>808</v>
      </c>
      <c r="F24" s="114" t="s">
        <v>795</v>
      </c>
      <c r="G24" s="1" t="s">
        <v>809</v>
      </c>
      <c r="H24" s="266" t="s">
        <v>810</v>
      </c>
      <c r="I24" s="291"/>
    </row>
    <row r="25" spans="1:9" ht="43.5">
      <c r="A25" s="114">
        <v>24</v>
      </c>
      <c r="B25" s="114" t="s">
        <v>791</v>
      </c>
      <c r="C25" s="257" t="s">
        <v>57</v>
      </c>
      <c r="D25" s="114">
        <v>14.13</v>
      </c>
      <c r="E25" s="293" t="s">
        <v>893</v>
      </c>
      <c r="F25" s="114" t="s">
        <v>795</v>
      </c>
      <c r="G25" s="1" t="s">
        <v>894</v>
      </c>
      <c r="H25" s="266" t="s">
        <v>895</v>
      </c>
      <c r="I25" s="291"/>
    </row>
    <row r="26" spans="1:9" ht="43.5">
      <c r="A26" s="114">
        <v>25</v>
      </c>
      <c r="B26" s="114" t="s">
        <v>791</v>
      </c>
      <c r="C26" s="257" t="s">
        <v>57</v>
      </c>
      <c r="D26" s="114">
        <v>14.16</v>
      </c>
      <c r="E26" s="266" t="s">
        <v>824</v>
      </c>
      <c r="F26" s="114" t="s">
        <v>825</v>
      </c>
      <c r="G26" s="1" t="s">
        <v>826</v>
      </c>
      <c r="H26" s="266" t="s">
        <v>827</v>
      </c>
      <c r="I26" s="291"/>
    </row>
    <row r="27" spans="1:9" ht="58">
      <c r="A27" s="114">
        <v>26</v>
      </c>
      <c r="B27" s="114" t="s">
        <v>791</v>
      </c>
      <c r="C27" s="257" t="s">
        <v>56</v>
      </c>
      <c r="D27" s="114">
        <v>13.1</v>
      </c>
      <c r="E27" s="1" t="s">
        <v>815</v>
      </c>
      <c r="F27" s="114" t="s">
        <v>795</v>
      </c>
      <c r="G27" s="1" t="s">
        <v>816</v>
      </c>
      <c r="H27" s="266" t="s">
        <v>817</v>
      </c>
      <c r="I27" s="291"/>
    </row>
    <row r="28" spans="1:9" ht="58">
      <c r="A28" s="114">
        <v>27</v>
      </c>
      <c r="B28" s="114" t="s">
        <v>800</v>
      </c>
      <c r="C28" s="257" t="s">
        <v>57</v>
      </c>
      <c r="D28" s="114">
        <v>14.14</v>
      </c>
      <c r="E28" s="266" t="s">
        <v>846</v>
      </c>
      <c r="F28" s="114" t="s">
        <v>795</v>
      </c>
      <c r="G28" s="1" t="s">
        <v>847</v>
      </c>
      <c r="H28" s="266" t="s">
        <v>848</v>
      </c>
      <c r="I28" s="291"/>
    </row>
    <row r="29" spans="1:9" ht="58">
      <c r="A29" s="114">
        <v>28</v>
      </c>
      <c r="B29" s="114" t="s">
        <v>791</v>
      </c>
      <c r="C29" s="257" t="s">
        <v>60</v>
      </c>
      <c r="D29" s="114">
        <v>16.7</v>
      </c>
      <c r="E29" s="292" t="s">
        <v>812</v>
      </c>
      <c r="F29" s="114" t="s">
        <v>795</v>
      </c>
      <c r="G29" s="1" t="s">
        <v>813</v>
      </c>
      <c r="H29" s="266" t="s">
        <v>814</v>
      </c>
      <c r="I29" s="291"/>
    </row>
    <row r="30" spans="1:9" ht="87">
      <c r="A30" s="114">
        <v>29</v>
      </c>
      <c r="B30" s="114" t="s">
        <v>791</v>
      </c>
      <c r="C30" s="257" t="s">
        <v>796</v>
      </c>
      <c r="D30" s="114" t="s">
        <v>797</v>
      </c>
      <c r="E30" s="266" t="s">
        <v>896</v>
      </c>
      <c r="F30" s="114" t="s">
        <v>792</v>
      </c>
      <c r="G30" s="1" t="s">
        <v>798</v>
      </c>
      <c r="H30" s="266" t="s">
        <v>799</v>
      </c>
      <c r="I30" s="291"/>
    </row>
    <row r="31" spans="1:9" ht="58">
      <c r="A31" s="114">
        <v>30</v>
      </c>
      <c r="B31" s="114" t="s">
        <v>791</v>
      </c>
      <c r="C31" s="257" t="s">
        <v>796</v>
      </c>
      <c r="D31" s="114">
        <v>10.45</v>
      </c>
      <c r="E31" s="266" t="s">
        <v>897</v>
      </c>
      <c r="F31" s="114" t="s">
        <v>795</v>
      </c>
      <c r="G31" s="1" t="s">
        <v>803</v>
      </c>
      <c r="H31" s="266" t="s">
        <v>804</v>
      </c>
      <c r="I31" s="291"/>
    </row>
    <row r="32" spans="1:9" ht="58">
      <c r="A32" s="114">
        <v>31</v>
      </c>
      <c r="B32" s="114" t="s">
        <v>791</v>
      </c>
      <c r="C32" s="257" t="s">
        <v>796</v>
      </c>
      <c r="D32" s="114">
        <v>5.56</v>
      </c>
      <c r="E32" s="1" t="s">
        <v>805</v>
      </c>
      <c r="F32" s="114" t="s">
        <v>795</v>
      </c>
      <c r="G32" s="1" t="s">
        <v>806</v>
      </c>
      <c r="H32" s="266" t="s">
        <v>807</v>
      </c>
      <c r="I32" s="291"/>
    </row>
    <row r="33" spans="1:9" ht="43.5">
      <c r="A33" s="114">
        <v>32</v>
      </c>
      <c r="B33" s="114" t="s">
        <v>791</v>
      </c>
      <c r="C33" s="257" t="s">
        <v>58</v>
      </c>
      <c r="D33" s="114">
        <v>5.32</v>
      </c>
      <c r="E33" s="266" t="s">
        <v>818</v>
      </c>
      <c r="F33" s="114" t="s">
        <v>795</v>
      </c>
      <c r="G33" s="1" t="s">
        <v>819</v>
      </c>
      <c r="H33" s="266" t="s">
        <v>820</v>
      </c>
      <c r="I33" s="291"/>
    </row>
    <row r="34" spans="1:9" ht="101.5">
      <c r="A34" s="114">
        <v>33</v>
      </c>
      <c r="B34" s="114" t="s">
        <v>791</v>
      </c>
      <c r="C34" s="257" t="s">
        <v>58</v>
      </c>
      <c r="D34" s="114">
        <v>15.15</v>
      </c>
      <c r="E34" s="266" t="s">
        <v>821</v>
      </c>
      <c r="F34" s="114" t="s">
        <v>795</v>
      </c>
      <c r="G34" s="1" t="s">
        <v>822</v>
      </c>
      <c r="H34" s="266" t="s">
        <v>823</v>
      </c>
      <c r="I34" s="291"/>
    </row>
    <row r="35" spans="1:9" ht="58">
      <c r="A35" s="114">
        <v>34</v>
      </c>
      <c r="B35" s="114" t="s">
        <v>791</v>
      </c>
      <c r="C35" s="257" t="s">
        <v>796</v>
      </c>
      <c r="D35" s="114">
        <v>5.5</v>
      </c>
      <c r="E35" s="266" t="s">
        <v>843</v>
      </c>
      <c r="F35" s="114" t="s">
        <v>795</v>
      </c>
      <c r="G35" s="1" t="s">
        <v>844</v>
      </c>
      <c r="H35" s="266" t="s">
        <v>845</v>
      </c>
      <c r="I35" s="291"/>
    </row>
    <row r="36" spans="1:9" ht="58">
      <c r="A36" s="114">
        <v>35</v>
      </c>
      <c r="B36" s="257" t="s">
        <v>791</v>
      </c>
      <c r="C36" s="257" t="s">
        <v>58</v>
      </c>
      <c r="D36" s="257"/>
      <c r="E36" s="182" t="s">
        <v>961</v>
      </c>
      <c r="F36" s="257" t="s">
        <v>792</v>
      </c>
      <c r="G36" s="1" t="s">
        <v>962</v>
      </c>
      <c r="H36" s="266" t="s">
        <v>898</v>
      </c>
      <c r="I36" s="291"/>
    </row>
    <row r="37" spans="1:9" ht="58">
      <c r="A37" s="114">
        <v>36</v>
      </c>
      <c r="B37" s="114" t="s">
        <v>811</v>
      </c>
      <c r="C37" s="257" t="s">
        <v>60</v>
      </c>
      <c r="D37" s="114">
        <v>16.14</v>
      </c>
      <c r="E37" s="266" t="s">
        <v>840</v>
      </c>
      <c r="F37" s="114" t="s">
        <v>792</v>
      </c>
      <c r="G37" s="1" t="s">
        <v>841</v>
      </c>
      <c r="H37" s="266" t="s">
        <v>842</v>
      </c>
      <c r="I37" s="291"/>
    </row>
    <row r="38" spans="1:9" ht="43.5">
      <c r="A38" s="114">
        <v>37</v>
      </c>
      <c r="B38" s="114" t="s">
        <v>811</v>
      </c>
      <c r="C38" s="257" t="s">
        <v>56</v>
      </c>
      <c r="D38" s="114"/>
      <c r="E38" s="266" t="s">
        <v>899</v>
      </c>
      <c r="F38" s="114" t="s">
        <v>795</v>
      </c>
      <c r="G38" s="1" t="s">
        <v>941</v>
      </c>
      <c r="H38" s="266" t="s">
        <v>940</v>
      </c>
      <c r="I38" s="291"/>
    </row>
    <row r="39" spans="1:9" ht="87">
      <c r="A39" s="114">
        <v>38</v>
      </c>
      <c r="B39" s="114" t="s">
        <v>791</v>
      </c>
      <c r="C39" s="257" t="s">
        <v>839</v>
      </c>
      <c r="D39" s="39">
        <v>3.1</v>
      </c>
      <c r="E39" s="266" t="s">
        <v>900</v>
      </c>
      <c r="F39" s="114" t="s">
        <v>825</v>
      </c>
      <c r="G39" s="1"/>
      <c r="H39" s="266" t="s">
        <v>901</v>
      </c>
      <c r="I39" s="291"/>
    </row>
    <row r="40" spans="1:9" ht="116">
      <c r="A40" s="114">
        <v>39</v>
      </c>
      <c r="B40" s="114" t="s">
        <v>791</v>
      </c>
      <c r="C40" s="257" t="s">
        <v>839</v>
      </c>
      <c r="D40" s="39">
        <v>3.1</v>
      </c>
      <c r="E40" s="182" t="s">
        <v>902</v>
      </c>
      <c r="F40" s="257" t="s">
        <v>825</v>
      </c>
      <c r="G40" s="1" t="s">
        <v>942</v>
      </c>
      <c r="H40" s="266" t="s">
        <v>901</v>
      </c>
      <c r="I40" s="291"/>
    </row>
    <row r="41" spans="1:9" ht="43.5">
      <c r="A41" s="114">
        <v>40</v>
      </c>
      <c r="B41" s="114" t="s">
        <v>791</v>
      </c>
      <c r="C41" s="257" t="s">
        <v>839</v>
      </c>
      <c r="D41" s="39">
        <v>3.1</v>
      </c>
      <c r="E41" s="182" t="s">
        <v>903</v>
      </c>
      <c r="F41" s="257" t="s">
        <v>825</v>
      </c>
      <c r="G41" s="1"/>
      <c r="H41" s="266" t="s">
        <v>901</v>
      </c>
      <c r="I41" s="291"/>
    </row>
    <row r="42" spans="1:9" ht="72.5">
      <c r="A42" s="114">
        <v>41</v>
      </c>
      <c r="B42" s="114" t="s">
        <v>791</v>
      </c>
      <c r="C42" s="257" t="s">
        <v>796</v>
      </c>
      <c r="D42" s="257">
        <v>11.42</v>
      </c>
      <c r="E42" s="182" t="s">
        <v>904</v>
      </c>
      <c r="F42" s="257" t="s">
        <v>792</v>
      </c>
      <c r="G42" s="1" t="s">
        <v>905</v>
      </c>
      <c r="H42" s="266" t="s">
        <v>906</v>
      </c>
      <c r="I42" s="291"/>
    </row>
    <row r="43" spans="1:9" ht="29">
      <c r="A43" s="114">
        <v>42</v>
      </c>
      <c r="B43" s="114" t="s">
        <v>791</v>
      </c>
      <c r="C43" s="257" t="s">
        <v>839</v>
      </c>
      <c r="D43" s="257">
        <v>11.42</v>
      </c>
      <c r="E43" s="182" t="s">
        <v>907</v>
      </c>
      <c r="F43" s="257" t="s">
        <v>795</v>
      </c>
      <c r="G43" s="1" t="s">
        <v>943</v>
      </c>
      <c r="H43" s="266" t="s">
        <v>908</v>
      </c>
      <c r="I43" s="291"/>
    </row>
    <row r="44" spans="1:9" ht="43.5">
      <c r="A44" s="114">
        <v>43</v>
      </c>
      <c r="B44" s="114" t="s">
        <v>791</v>
      </c>
      <c r="C44" s="257" t="s">
        <v>48</v>
      </c>
      <c r="D44" s="273">
        <v>2.1</v>
      </c>
      <c r="E44" s="182" t="s">
        <v>909</v>
      </c>
      <c r="F44" s="257" t="s">
        <v>825</v>
      </c>
      <c r="G44" s="1" t="s">
        <v>963</v>
      </c>
      <c r="H44" s="266" t="s">
        <v>910</v>
      </c>
      <c r="I44" s="291"/>
    </row>
    <row r="45" spans="1:9" ht="58">
      <c r="A45" s="114">
        <v>44</v>
      </c>
      <c r="B45" s="114" t="s">
        <v>800</v>
      </c>
      <c r="C45" s="257" t="s">
        <v>54</v>
      </c>
      <c r="D45" s="114">
        <v>5.72</v>
      </c>
      <c r="E45" s="266" t="s">
        <v>836</v>
      </c>
      <c r="F45" s="114" t="s">
        <v>792</v>
      </c>
      <c r="G45" s="1" t="s">
        <v>837</v>
      </c>
      <c r="H45" s="266" t="s">
        <v>838</v>
      </c>
      <c r="I45" s="291"/>
    </row>
    <row r="46" spans="1:9" ht="43.5">
      <c r="A46" s="114">
        <v>45</v>
      </c>
      <c r="B46" s="114" t="s">
        <v>791</v>
      </c>
      <c r="C46" s="257" t="s">
        <v>49</v>
      </c>
      <c r="D46" s="257">
        <v>3.21</v>
      </c>
      <c r="E46" s="182" t="s">
        <v>964</v>
      </c>
      <c r="F46" s="257" t="s">
        <v>795</v>
      </c>
      <c r="G46" s="1" t="s">
        <v>965</v>
      </c>
      <c r="H46" s="266" t="s">
        <v>966</v>
      </c>
      <c r="I46" s="291"/>
    </row>
    <row r="47" spans="1:9" ht="29">
      <c r="A47" s="114">
        <v>46</v>
      </c>
      <c r="B47" s="114" t="s">
        <v>791</v>
      </c>
      <c r="C47" s="257" t="s">
        <v>54</v>
      </c>
      <c r="D47" s="257">
        <v>10.37</v>
      </c>
      <c r="E47" s="182" t="s">
        <v>911</v>
      </c>
      <c r="F47" s="257" t="s">
        <v>792</v>
      </c>
      <c r="G47" s="1" t="s">
        <v>967</v>
      </c>
      <c r="H47" s="266" t="s">
        <v>912</v>
      </c>
      <c r="I47" s="291"/>
    </row>
    <row r="48" spans="1:9" ht="43.5">
      <c r="A48" s="114">
        <v>47</v>
      </c>
      <c r="B48" s="114" t="s">
        <v>791</v>
      </c>
      <c r="C48" s="257" t="s">
        <v>54</v>
      </c>
      <c r="D48" s="257" t="s">
        <v>913</v>
      </c>
      <c r="E48" s="182" t="s">
        <v>914</v>
      </c>
      <c r="F48" s="257" t="s">
        <v>795</v>
      </c>
      <c r="G48" s="1" t="s">
        <v>944</v>
      </c>
      <c r="H48" s="266" t="s">
        <v>968</v>
      </c>
      <c r="I48" s="291"/>
    </row>
    <row r="49" spans="1:9" ht="43.5">
      <c r="A49" s="114">
        <v>48</v>
      </c>
      <c r="B49" s="114" t="s">
        <v>791</v>
      </c>
      <c r="C49" s="257" t="s">
        <v>915</v>
      </c>
      <c r="D49" s="257">
        <v>17.16</v>
      </c>
      <c r="E49" s="182" t="s">
        <v>916</v>
      </c>
      <c r="F49" s="257" t="s">
        <v>792</v>
      </c>
      <c r="G49" s="1" t="s">
        <v>945</v>
      </c>
      <c r="H49" s="266" t="s">
        <v>917</v>
      </c>
      <c r="I49" s="291"/>
    </row>
    <row r="50" spans="1:9" ht="58">
      <c r="A50" s="114">
        <v>49</v>
      </c>
      <c r="B50" s="114" t="s">
        <v>791</v>
      </c>
      <c r="C50" s="257" t="s">
        <v>915</v>
      </c>
      <c r="D50" s="257">
        <v>17.170000000000002</v>
      </c>
      <c r="E50" s="182" t="s">
        <v>918</v>
      </c>
      <c r="F50" s="257" t="s">
        <v>825</v>
      </c>
      <c r="G50" s="1"/>
      <c r="H50" s="266" t="s">
        <v>969</v>
      </c>
      <c r="I50" s="291"/>
    </row>
    <row r="51" spans="1:9" ht="58">
      <c r="A51" s="114">
        <v>50</v>
      </c>
      <c r="B51" s="114" t="s">
        <v>791</v>
      </c>
      <c r="C51" s="257" t="s">
        <v>919</v>
      </c>
      <c r="D51" s="257">
        <v>19.399999999999999</v>
      </c>
      <c r="E51" s="182" t="s">
        <v>920</v>
      </c>
      <c r="F51" s="257" t="s">
        <v>825</v>
      </c>
      <c r="G51" s="1"/>
      <c r="H51" s="266" t="s">
        <v>921</v>
      </c>
      <c r="I51" s="291"/>
    </row>
    <row r="52" spans="1:9" ht="43.5">
      <c r="A52" s="114">
        <v>51</v>
      </c>
      <c r="B52" s="114" t="s">
        <v>791</v>
      </c>
      <c r="C52" s="257" t="s">
        <v>56</v>
      </c>
      <c r="D52" s="257">
        <v>13.35</v>
      </c>
      <c r="E52" s="182" t="s">
        <v>922</v>
      </c>
      <c r="F52" s="114" t="s">
        <v>825</v>
      </c>
      <c r="G52" s="1" t="s">
        <v>979</v>
      </c>
      <c r="H52" s="266" t="s">
        <v>970</v>
      </c>
      <c r="I52" s="291"/>
    </row>
    <row r="53" spans="1:9" ht="130.5">
      <c r="A53" s="114">
        <v>52</v>
      </c>
      <c r="B53" s="114" t="s">
        <v>791</v>
      </c>
      <c r="C53" s="257" t="s">
        <v>56</v>
      </c>
      <c r="D53" s="257">
        <v>11.5</v>
      </c>
      <c r="E53" s="182" t="s">
        <v>923</v>
      </c>
      <c r="F53" s="114" t="s">
        <v>795</v>
      </c>
      <c r="G53" s="1" t="s">
        <v>971</v>
      </c>
      <c r="H53" s="266" t="s">
        <v>924</v>
      </c>
      <c r="I53" s="291"/>
    </row>
    <row r="54" spans="1:9" ht="58">
      <c r="A54" s="114">
        <v>53</v>
      </c>
      <c r="B54" s="114" t="s">
        <v>791</v>
      </c>
      <c r="C54" s="257" t="s">
        <v>54</v>
      </c>
      <c r="D54" s="257">
        <v>10.25</v>
      </c>
      <c r="E54" s="182" t="s">
        <v>972</v>
      </c>
      <c r="F54" s="114" t="s">
        <v>792</v>
      </c>
      <c r="G54" s="1" t="s">
        <v>946</v>
      </c>
      <c r="H54" s="266" t="s">
        <v>973</v>
      </c>
      <c r="I54" s="291"/>
    </row>
    <row r="55" spans="1:9" ht="58">
      <c r="A55" s="114">
        <v>54</v>
      </c>
      <c r="B55" s="114" t="s">
        <v>791</v>
      </c>
      <c r="C55" s="257" t="s">
        <v>796</v>
      </c>
      <c r="D55" s="39">
        <v>3.2</v>
      </c>
      <c r="E55" s="182" t="s">
        <v>974</v>
      </c>
      <c r="F55" s="114" t="s">
        <v>795</v>
      </c>
      <c r="G55" s="1" t="s">
        <v>948</v>
      </c>
      <c r="H55" s="266" t="s">
        <v>925</v>
      </c>
      <c r="I55" s="291"/>
    </row>
    <row r="56" spans="1:9" ht="58">
      <c r="A56" s="114">
        <v>55</v>
      </c>
      <c r="B56" s="114" t="s">
        <v>791</v>
      </c>
      <c r="C56" s="257" t="s">
        <v>796</v>
      </c>
      <c r="D56" s="291"/>
      <c r="E56" s="182" t="s">
        <v>926</v>
      </c>
      <c r="F56" s="114" t="s">
        <v>795</v>
      </c>
      <c r="G56" s="1" t="s">
        <v>947</v>
      </c>
      <c r="H56" s="266" t="s">
        <v>927</v>
      </c>
      <c r="I56" s="291"/>
    </row>
    <row r="57" spans="1:9" ht="29">
      <c r="A57" s="114">
        <v>56</v>
      </c>
      <c r="B57" s="114" t="s">
        <v>791</v>
      </c>
      <c r="C57" s="257" t="s">
        <v>49</v>
      </c>
      <c r="D57" s="39">
        <v>3.1</v>
      </c>
      <c r="E57" s="182" t="s">
        <v>975</v>
      </c>
      <c r="F57" s="114" t="s">
        <v>795</v>
      </c>
      <c r="G57" s="1" t="s">
        <v>976</v>
      </c>
      <c r="H57" s="266" t="s">
        <v>928</v>
      </c>
      <c r="I57" s="291"/>
    </row>
    <row r="58" spans="1:9" ht="43.5">
      <c r="A58" s="114">
        <v>57</v>
      </c>
      <c r="B58" s="289" t="s">
        <v>791</v>
      </c>
      <c r="C58" s="180" t="s">
        <v>48</v>
      </c>
      <c r="D58" s="114">
        <v>2.2400000000000002</v>
      </c>
      <c r="E58" s="28" t="s">
        <v>929</v>
      </c>
      <c r="F58" s="257" t="s">
        <v>26</v>
      </c>
      <c r="G58" s="1" t="s">
        <v>977</v>
      </c>
      <c r="H58" s="266" t="s">
        <v>930</v>
      </c>
      <c r="I58" s="291"/>
    </row>
    <row r="59" spans="1:9" ht="72.5">
      <c r="A59" s="114">
        <v>58</v>
      </c>
      <c r="B59" s="114" t="s">
        <v>791</v>
      </c>
      <c r="C59" s="257" t="s">
        <v>56</v>
      </c>
      <c r="D59" s="39">
        <v>13.11</v>
      </c>
      <c r="E59" s="182" t="s">
        <v>931</v>
      </c>
      <c r="F59" s="114" t="s">
        <v>792</v>
      </c>
      <c r="G59" s="1"/>
      <c r="H59" s="266" t="s">
        <v>932</v>
      </c>
      <c r="I59" s="291"/>
    </row>
    <row r="60" spans="1:9" ht="116">
      <c r="A60" s="114">
        <v>59</v>
      </c>
      <c r="B60" s="114" t="s">
        <v>800</v>
      </c>
      <c r="C60" s="257" t="s">
        <v>796</v>
      </c>
      <c r="D60" s="291"/>
      <c r="E60" s="182" t="s">
        <v>978</v>
      </c>
      <c r="F60" s="114" t="s">
        <v>792</v>
      </c>
      <c r="G60" s="1" t="s">
        <v>967</v>
      </c>
      <c r="H60" s="266" t="s">
        <v>933</v>
      </c>
      <c r="I60" s="291"/>
    </row>
    <row r="61" spans="1:9" ht="29">
      <c r="A61" s="114">
        <v>60</v>
      </c>
      <c r="B61" s="114" t="s">
        <v>791</v>
      </c>
      <c r="C61" s="257" t="s">
        <v>47</v>
      </c>
      <c r="D61" s="291"/>
      <c r="E61" s="182" t="s">
        <v>934</v>
      </c>
      <c r="F61" s="114" t="s">
        <v>795</v>
      </c>
      <c r="G61" s="1"/>
      <c r="H61" s="266" t="s">
        <v>935</v>
      </c>
      <c r="I61" s="291"/>
    </row>
    <row r="62" spans="1:9" ht="43.5">
      <c r="A62" s="114">
        <v>61</v>
      </c>
      <c r="B62" s="114" t="s">
        <v>791</v>
      </c>
      <c r="C62" s="257" t="s">
        <v>48</v>
      </c>
      <c r="D62" s="291"/>
      <c r="E62" s="182" t="s">
        <v>936</v>
      </c>
      <c r="F62" s="114" t="s">
        <v>795</v>
      </c>
      <c r="G62" s="1" t="s">
        <v>967</v>
      </c>
      <c r="H62" s="266" t="s">
        <v>937</v>
      </c>
      <c r="I62" s="291"/>
    </row>
  </sheetData>
  <autoFilter ref="A1:H62" xr:uid="{00000000-0009-0000-0000-000002000000}"/>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2"/>
  </sheetPr>
  <dimension ref="A1:L32"/>
  <sheetViews>
    <sheetView zoomScaleNormal="100" workbookViewId="0"/>
  </sheetViews>
  <sheetFormatPr defaultRowHeight="14.5"/>
  <cols>
    <col min="1" max="1" width="28.1796875" bestFit="1" customWidth="1"/>
    <col min="2" max="2" width="25.81640625" bestFit="1" customWidth="1"/>
    <col min="3" max="3" width="2.453125" bestFit="1" customWidth="1"/>
    <col min="4" max="4" width="28.6328125" bestFit="1" customWidth="1"/>
    <col min="5" max="5" width="9" customWidth="1"/>
    <col min="6" max="6" width="27.453125" bestFit="1" customWidth="1"/>
    <col min="7" max="7" width="2.453125" bestFit="1" customWidth="1"/>
    <col min="8" max="8" width="25.6328125" bestFit="1" customWidth="1"/>
    <col min="9" max="9" width="2.453125" bestFit="1" customWidth="1"/>
  </cols>
  <sheetData>
    <row r="1" spans="1:12">
      <c r="A1" t="s">
        <v>72</v>
      </c>
      <c r="C1" s="27"/>
      <c r="E1" s="27"/>
      <c r="F1" t="s">
        <v>89</v>
      </c>
      <c r="G1" s="27"/>
      <c r="I1" s="27"/>
    </row>
    <row r="2" spans="1:12">
      <c r="A2" s="64" t="s">
        <v>127</v>
      </c>
      <c r="B2" s="65">
        <v>1</v>
      </c>
      <c r="C2" s="27"/>
      <c r="E2" s="27"/>
      <c r="F2" t="s">
        <v>105</v>
      </c>
      <c r="G2" s="27"/>
      <c r="I2" s="27"/>
    </row>
    <row r="3" spans="1:12">
      <c r="A3" s="64" t="s">
        <v>90</v>
      </c>
      <c r="B3" s="65">
        <v>2</v>
      </c>
      <c r="C3" s="27"/>
      <c r="E3" s="27"/>
      <c r="F3" t="s">
        <v>215</v>
      </c>
      <c r="G3" s="27"/>
      <c r="I3" s="27"/>
    </row>
    <row r="4" spans="1:12">
      <c r="A4" s="64" t="s">
        <v>118</v>
      </c>
      <c r="B4" s="65">
        <v>3</v>
      </c>
      <c r="C4" s="27"/>
      <c r="E4" s="27"/>
      <c r="G4" s="27">
        <v>1</v>
      </c>
      <c r="H4" t="s">
        <v>756</v>
      </c>
      <c r="I4" s="27"/>
    </row>
    <row r="5" spans="1:12">
      <c r="A5" s="64" t="s">
        <v>91</v>
      </c>
      <c r="B5" s="65" t="s">
        <v>757</v>
      </c>
      <c r="C5" s="27"/>
      <c r="E5" s="27"/>
      <c r="G5" s="27">
        <v>2</v>
      </c>
      <c r="H5" t="s">
        <v>186</v>
      </c>
      <c r="I5" s="27"/>
    </row>
    <row r="6" spans="1:12">
      <c r="C6" s="27"/>
      <c r="D6" s="90" t="s">
        <v>758</v>
      </c>
      <c r="E6" s="91">
        <v>0.2</v>
      </c>
      <c r="G6" s="27">
        <v>3</v>
      </c>
      <c r="H6" t="s">
        <v>759</v>
      </c>
      <c r="I6" s="27"/>
    </row>
    <row r="7" spans="1:12">
      <c r="A7" t="s">
        <v>73</v>
      </c>
      <c r="C7" s="27"/>
      <c r="D7" s="90" t="s">
        <v>760</v>
      </c>
      <c r="E7" s="84">
        <f>1+E6</f>
        <v>1.2</v>
      </c>
      <c r="G7" s="27">
        <v>4</v>
      </c>
      <c r="H7" t="s">
        <v>761</v>
      </c>
      <c r="I7" s="27"/>
    </row>
    <row r="8" spans="1:12">
      <c r="A8" s="64" t="s">
        <v>95</v>
      </c>
      <c r="B8" s="65">
        <v>1</v>
      </c>
      <c r="C8" s="27"/>
      <c r="D8" s="90" t="s">
        <v>762</v>
      </c>
      <c r="E8" s="84">
        <f>1-E6</f>
        <v>0.8</v>
      </c>
      <c r="G8" s="27">
        <v>5</v>
      </c>
      <c r="H8" t="s">
        <v>763</v>
      </c>
      <c r="I8" s="27"/>
    </row>
    <row r="9" spans="1:12">
      <c r="A9" s="64" t="s">
        <v>125</v>
      </c>
      <c r="B9" s="65">
        <v>2</v>
      </c>
      <c r="C9" s="27"/>
      <c r="E9" s="27"/>
      <c r="G9" s="27"/>
      <c r="I9" s="27"/>
    </row>
    <row r="10" spans="1:12">
      <c r="A10" s="64" t="s">
        <v>100</v>
      </c>
      <c r="B10" s="65">
        <v>3</v>
      </c>
      <c r="C10" s="27"/>
      <c r="E10" s="27"/>
      <c r="G10" s="27"/>
      <c r="I10" s="27"/>
    </row>
    <row r="11" spans="1:12">
      <c r="A11" s="64" t="s">
        <v>91</v>
      </c>
      <c r="B11" s="65" t="s">
        <v>757</v>
      </c>
      <c r="C11" s="27"/>
      <c r="E11" s="27"/>
      <c r="G11" s="27"/>
      <c r="I11" s="27"/>
    </row>
    <row r="12" spans="1:12">
      <c r="C12" s="27"/>
      <c r="E12" s="27"/>
      <c r="G12" s="27"/>
      <c r="I12" s="27"/>
    </row>
    <row r="13" spans="1:12">
      <c r="A13" t="s">
        <v>74</v>
      </c>
      <c r="C13" s="27"/>
      <c r="E13" s="27"/>
      <c r="G13" s="27"/>
      <c r="I13" s="27"/>
      <c r="K13" s="92"/>
    </row>
    <row r="14" spans="1:12">
      <c r="A14" s="64" t="s">
        <v>206</v>
      </c>
      <c r="B14" s="65">
        <v>1</v>
      </c>
      <c r="C14" s="27"/>
      <c r="E14" s="27"/>
      <c r="G14" s="27"/>
      <c r="I14" s="27"/>
    </row>
    <row r="15" spans="1:12">
      <c r="A15" s="64" t="s">
        <v>101</v>
      </c>
      <c r="B15" s="65">
        <v>2</v>
      </c>
      <c r="C15" s="27"/>
      <c r="E15" s="27"/>
      <c r="G15" s="27"/>
      <c r="I15" s="27"/>
      <c r="K15" s="84"/>
      <c r="L15" s="84"/>
    </row>
    <row r="16" spans="1:12">
      <c r="A16" s="64" t="s">
        <v>120</v>
      </c>
      <c r="B16" s="65">
        <v>3</v>
      </c>
      <c r="C16" s="27"/>
      <c r="E16" s="27"/>
      <c r="G16" s="27"/>
      <c r="I16" s="27"/>
    </row>
    <row r="17" spans="1:10">
      <c r="A17" s="64" t="s">
        <v>91</v>
      </c>
      <c r="B17" s="65" t="s">
        <v>757</v>
      </c>
      <c r="C17" s="27"/>
      <c r="E17" s="27"/>
      <c r="G17" s="27"/>
      <c r="I17" s="27"/>
    </row>
    <row r="18" spans="1:10">
      <c r="C18" s="27"/>
      <c r="G18" s="27"/>
      <c r="I18" s="27"/>
    </row>
    <row r="19" spans="1:10">
      <c r="A19" t="s">
        <v>764</v>
      </c>
      <c r="C19" s="27"/>
      <c r="G19" s="27"/>
      <c r="I19" s="27"/>
    </row>
    <row r="20" spans="1:10">
      <c r="A20" s="94" t="s">
        <v>102</v>
      </c>
      <c r="B20" s="65">
        <v>1</v>
      </c>
      <c r="C20" s="27"/>
      <c r="G20" s="27"/>
      <c r="I20" s="27"/>
    </row>
    <row r="21" spans="1:10">
      <c r="A21" s="94" t="s">
        <v>464</v>
      </c>
      <c r="B21" s="65">
        <v>2</v>
      </c>
      <c r="C21" s="27"/>
      <c r="D21" s="90"/>
      <c r="E21" s="27"/>
      <c r="G21" s="27"/>
      <c r="I21" s="27"/>
    </row>
    <row r="22" spans="1:10">
      <c r="A22" s="94" t="s">
        <v>129</v>
      </c>
      <c r="B22" s="65">
        <v>3</v>
      </c>
      <c r="C22" s="27"/>
      <c r="E22" s="27"/>
      <c r="G22" s="27"/>
      <c r="I22" s="27"/>
    </row>
    <row r="23" spans="1:10">
      <c r="A23" s="94" t="s">
        <v>91</v>
      </c>
      <c r="B23" s="65" t="s">
        <v>757</v>
      </c>
      <c r="C23" s="27"/>
      <c r="E23" s="27"/>
      <c r="G23" s="27"/>
      <c r="I23" s="27"/>
    </row>
    <row r="24" spans="1:10">
      <c r="C24" s="27"/>
      <c r="E24" s="27"/>
      <c r="G24" s="27"/>
      <c r="I24" s="27"/>
    </row>
    <row r="25" spans="1:10">
      <c r="C25" s="27"/>
      <c r="E25" s="27"/>
      <c r="G25" s="27"/>
      <c r="I25" s="27"/>
    </row>
    <row r="26" spans="1:10">
      <c r="B26" s="66" t="s">
        <v>72</v>
      </c>
      <c r="C26" s="66"/>
      <c r="D26" s="66" t="s">
        <v>73</v>
      </c>
      <c r="E26" s="66"/>
      <c r="F26" s="66" t="s">
        <v>74</v>
      </c>
      <c r="G26" s="66"/>
      <c r="H26" s="66" t="s">
        <v>765</v>
      </c>
      <c r="I26" s="66"/>
      <c r="J26" s="67"/>
    </row>
    <row r="27" spans="1:10">
      <c r="B27" s="64" t="s">
        <v>766</v>
      </c>
      <c r="C27" s="65">
        <v>1</v>
      </c>
      <c r="D27" s="64" t="s">
        <v>95</v>
      </c>
      <c r="E27" s="65">
        <v>1</v>
      </c>
      <c r="F27" s="64" t="s">
        <v>206</v>
      </c>
      <c r="G27" s="65">
        <v>1</v>
      </c>
      <c r="H27" s="64" t="s">
        <v>767</v>
      </c>
      <c r="I27" s="65">
        <v>1</v>
      </c>
      <c r="J27" s="67"/>
    </row>
    <row r="28" spans="1:10">
      <c r="B28" s="64" t="s">
        <v>768</v>
      </c>
      <c r="C28" s="65">
        <v>2</v>
      </c>
      <c r="D28" s="64" t="s">
        <v>769</v>
      </c>
      <c r="E28" s="65"/>
      <c r="F28" s="64" t="s">
        <v>770</v>
      </c>
      <c r="G28" s="65"/>
      <c r="H28" s="64" t="s">
        <v>771</v>
      </c>
      <c r="I28" s="65"/>
      <c r="J28" s="67"/>
    </row>
    <row r="29" spans="1:10">
      <c r="B29" s="64" t="s">
        <v>772</v>
      </c>
      <c r="C29" s="65"/>
      <c r="D29" s="64" t="s">
        <v>773</v>
      </c>
      <c r="E29" s="65"/>
      <c r="F29" s="64" t="s">
        <v>774</v>
      </c>
      <c r="G29" s="65"/>
      <c r="H29" s="64" t="s">
        <v>775</v>
      </c>
      <c r="I29" s="65"/>
      <c r="J29" s="67"/>
    </row>
    <row r="30" spans="1:10">
      <c r="B30" s="64" t="s">
        <v>776</v>
      </c>
      <c r="C30" s="65"/>
      <c r="D30" s="64" t="s">
        <v>777</v>
      </c>
      <c r="E30" s="65"/>
      <c r="F30" s="64" t="s">
        <v>778</v>
      </c>
      <c r="G30" s="65"/>
      <c r="H30" s="64" t="s">
        <v>779</v>
      </c>
      <c r="I30" s="65"/>
      <c r="J30" s="67"/>
    </row>
    <row r="31" spans="1:10">
      <c r="B31" s="64" t="s">
        <v>780</v>
      </c>
      <c r="C31" s="65">
        <v>3</v>
      </c>
      <c r="D31" s="64" t="s">
        <v>781</v>
      </c>
      <c r="E31" s="65"/>
      <c r="F31" s="64" t="s">
        <v>782</v>
      </c>
      <c r="G31" s="65"/>
      <c r="H31" s="64" t="s">
        <v>783</v>
      </c>
      <c r="I31" s="65"/>
      <c r="J31" s="67"/>
    </row>
    <row r="32" spans="1:10">
      <c r="C32" s="27"/>
      <c r="E32" s="27"/>
      <c r="G32" s="27"/>
      <c r="I32" s="27"/>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7DDE2D978862847839A1B26A418A420" ma:contentTypeVersion="9" ma:contentTypeDescription="Create a new document." ma:contentTypeScope="" ma:versionID="19602583baf11eca69ede386e860f087">
  <xsd:schema xmlns:xsd="http://www.w3.org/2001/XMLSchema" xmlns:xs="http://www.w3.org/2001/XMLSchema" xmlns:p="http://schemas.microsoft.com/office/2006/metadata/properties" xmlns:ns2="73cbc1df-4ed0-4fab-b3b1-02105afefcbd" targetNamespace="http://schemas.microsoft.com/office/2006/metadata/properties" ma:root="true" ma:fieldsID="453cbc8983dc56697ebf09f244eb5f27" ns2:_="">
    <xsd:import namespace="73cbc1df-4ed0-4fab-b3b1-02105afefcb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3cbc1df-4ed0-4fab-b3b1-02105afefcb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39C61BA-FBAD-4245-ADB6-3EDC3EC70FA6}">
  <ds:schemaRefs>
    <ds:schemaRef ds:uri="http://www.w3.org/XML/1998/namespace"/>
    <ds:schemaRef ds:uri="http://schemas.microsoft.com/office/2006/metadata/properties"/>
    <ds:schemaRef ds:uri="http://schemas.microsoft.com/office/2006/documentManagement/types"/>
    <ds:schemaRef ds:uri="http://schemas.microsoft.com/office/infopath/2007/PartnerControls"/>
    <ds:schemaRef ds:uri="73cbc1df-4ed0-4fab-b3b1-02105afefcbd"/>
    <ds:schemaRef ds:uri="http://purl.org/dc/dcmitype/"/>
    <ds:schemaRef ds:uri="http://schemas.openxmlformats.org/package/2006/metadata/core-properties"/>
    <ds:schemaRef ds:uri="http://purl.org/dc/terms/"/>
    <ds:schemaRef ds:uri="http://purl.org/dc/elements/1.1/"/>
  </ds:schemaRefs>
</ds:datastoreItem>
</file>

<file path=customXml/itemProps2.xml><?xml version="1.0" encoding="utf-8"?>
<ds:datastoreItem xmlns:ds="http://schemas.openxmlformats.org/officeDocument/2006/customXml" ds:itemID="{266F003B-3D49-45A9-BD36-D98FDB66E8E9}">
  <ds:schemaRefs>
    <ds:schemaRef ds:uri="http://schemas.microsoft.com/sharepoint/v3/contenttype/forms"/>
  </ds:schemaRefs>
</ds:datastoreItem>
</file>

<file path=customXml/itemProps3.xml><?xml version="1.0" encoding="utf-8"?>
<ds:datastoreItem xmlns:ds="http://schemas.openxmlformats.org/officeDocument/2006/customXml" ds:itemID="{AF4E5713-1FF6-416D-80C5-A9D0150BE3C5}">
  <ds:schemaRefs>
    <ds:schemaRef ds:uri="http://schemas.microsoft.com/office/2006/metadata/contentType"/>
    <ds:schemaRef ds:uri="http://schemas.microsoft.com/office/2006/metadata/properties/metaAttributes"/>
    <ds:schemaRef ds:uri="http://www.w3.org/2000/xmlns/"/>
    <ds:schemaRef ds:uri="http://www.w3.org/2001/XMLSchema"/>
    <ds:schemaRef ds:uri="73cbc1df-4ed0-4fab-b3b1-02105afefcbd"/>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Cover</vt:lpstr>
      <vt:lpstr>Index</vt:lpstr>
      <vt:lpstr>Read Me</vt:lpstr>
      <vt:lpstr>Security Domains</vt:lpstr>
      <vt:lpstr>IS Governance</vt:lpstr>
      <vt:lpstr>Access Management</vt:lpstr>
      <vt:lpstr>Asset Management</vt:lpstr>
      <vt:lpstr>Incident Management</vt:lpstr>
      <vt:lpstr>Infra and Operations Sec</vt:lpstr>
      <vt:lpstr>Emerging Technology</vt:lpstr>
      <vt:lpstr>Network Security</vt:lpstr>
      <vt:lpstr>Endpoint Protection</vt:lpstr>
      <vt:lpstr>Human Resource Security</vt:lpstr>
      <vt:lpstr>Application Security</vt:lpstr>
      <vt:lpstr>Risk Management</vt:lpstr>
      <vt:lpstr>Business Continuity</vt:lpstr>
      <vt:lpstr>Physical and Environment</vt:lpstr>
      <vt:lpstr>Third Party</vt:lpstr>
      <vt:lpstr>Compliance management</vt:lpstr>
      <vt:lpstr>Observations</vt:lpstr>
      <vt:lpstr>Maturity Rating</vt:lpstr>
    </vt:vector>
  </TitlesOfParts>
  <Manager/>
  <Company>KPMG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Richa</dc:creator>
  <cp:keywords/>
  <dc:description/>
  <cp:lastModifiedBy>Sandeep Pattanaik</cp:lastModifiedBy>
  <cp:revision/>
  <cp:lastPrinted>2024-08-09T06:05:53Z</cp:lastPrinted>
  <dcterms:created xsi:type="dcterms:W3CDTF">2018-07-04T05:32:10Z</dcterms:created>
  <dcterms:modified xsi:type="dcterms:W3CDTF">2026-05-05T10:57:37Z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0x01010007DDE2D978862847839A1B26A418A420</vt:lpwstr>
  </property>
</Properties>
</file>